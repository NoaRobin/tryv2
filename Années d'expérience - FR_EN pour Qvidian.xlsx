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eachbcp1.sharepoint.com/sites/S001314/Shared Documents/7 - Ressources/Qvidian/Library/Projet merge codes/"/>
    </mc:Choice>
  </mc:AlternateContent>
  <xr:revisionPtr revIDLastSave="1105" documentId="8_{E9C6A44D-2A18-4331-BD1F-53E2696EB082}" xr6:coauthVersionLast="47" xr6:coauthVersionMax="47" xr10:uidLastSave="{B072103A-2DE8-4AB4-AF99-34935F17A098}"/>
  <bookViews>
    <workbookView xWindow="28690" yWindow="160" windowWidth="29020" windowHeight="15700" activeTab="2" xr2:uid="{00000000-000D-0000-FFFF-FFFF00000000}"/>
  </bookViews>
  <sheets>
    <sheet name="Accueil" sheetId="6" r:id="rId1"/>
    <sheet name="Notice" sheetId="4" r:id="rId2"/>
    <sheet name="Exp individuelle + team - TCD" sheetId="3" r:id="rId3"/>
    <sheet name="Data" sheetId="1" r:id="rId4"/>
    <sheet name="Tab_Suivi " sheetId="5" r:id="rId5"/>
    <sheet name="Exp moyenne par équipe gestion" sheetId="2" state="hidden" r:id="rId6"/>
  </sheets>
  <definedNames>
    <definedName name="_xlnm._FilterDatabase" localSheetId="3" hidden="1">Data!$A$1:$K$81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1" i="5" l="1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I4" i="5"/>
  <c r="G4" i="5"/>
  <c r="E4" i="5"/>
  <c r="C4" i="5"/>
  <c r="A4" i="5"/>
  <c r="I12" i="1"/>
  <c r="K12" i="1"/>
  <c r="K38" i="1"/>
  <c r="I38" i="1"/>
  <c r="K55" i="1"/>
  <c r="I55" i="1"/>
  <c r="K44" i="1"/>
  <c r="I44" i="1"/>
  <c r="K79" i="1"/>
  <c r="I79" i="1"/>
  <c r="K59" i="1" l="1"/>
  <c r="I59" i="1"/>
  <c r="K31" i="1"/>
  <c r="I31" i="1"/>
  <c r="K58" i="1"/>
  <c r="K24" i="1"/>
  <c r="K28" i="1"/>
  <c r="K56" i="1"/>
  <c r="I58" i="1"/>
  <c r="I24" i="1"/>
  <c r="I28" i="1"/>
  <c r="I56" i="1"/>
  <c r="K60" i="1"/>
  <c r="I60" i="1"/>
  <c r="I17" i="1" l="1"/>
  <c r="I70" i="1" l="1"/>
  <c r="K34" i="1"/>
  <c r="I34" i="1"/>
  <c r="K32" i="1"/>
  <c r="I32" i="1"/>
  <c r="K17" i="1"/>
  <c r="K70" i="1"/>
  <c r="K6" i="1"/>
  <c r="I6" i="1"/>
  <c r="I71" i="1"/>
  <c r="K71" i="1"/>
  <c r="I72" i="1"/>
  <c r="K72" i="1"/>
  <c r="I73" i="1"/>
  <c r="K73" i="1"/>
  <c r="I74" i="1"/>
  <c r="K74" i="1"/>
  <c r="I75" i="1"/>
  <c r="K75" i="1"/>
  <c r="I76" i="1"/>
  <c r="K76" i="1"/>
  <c r="I77" i="1"/>
  <c r="K77" i="1"/>
  <c r="I39" i="1" l="1"/>
  <c r="I27" i="1"/>
  <c r="K7" i="1"/>
  <c r="I7" i="1"/>
  <c r="K5" i="1"/>
  <c r="I5" i="1"/>
  <c r="K65" i="1"/>
  <c r="I65" i="1"/>
  <c r="K25" i="1"/>
  <c r="I25" i="1"/>
  <c r="K27" i="1" l="1"/>
  <c r="K22" i="1"/>
  <c r="I22" i="1"/>
  <c r="E20" i="2"/>
  <c r="K69" i="1" l="1"/>
  <c r="I69" i="1"/>
  <c r="E15" i="2"/>
  <c r="E11" i="2"/>
  <c r="E8" i="2"/>
  <c r="E5" i="2"/>
  <c r="I3" i="1"/>
  <c r="K36" i="1"/>
  <c r="I36" i="1"/>
  <c r="K47" i="1"/>
  <c r="I47" i="1"/>
  <c r="K21" i="1"/>
  <c r="I21" i="1"/>
  <c r="K41" i="1"/>
  <c r="I41" i="1"/>
  <c r="K51" i="1"/>
  <c r="I51" i="1"/>
  <c r="K33" i="1"/>
  <c r="I33" i="1"/>
  <c r="K42" i="1"/>
  <c r="I42" i="1"/>
  <c r="K64" i="1"/>
  <c r="I64" i="1"/>
  <c r="K48" i="1"/>
  <c r="I48" i="1"/>
  <c r="K46" i="1"/>
  <c r="I46" i="1"/>
  <c r="K18" i="1"/>
  <c r="I18" i="1"/>
  <c r="K2" i="1"/>
  <c r="I2" i="1"/>
  <c r="A48" i="5" s="1" a="1"/>
  <c r="A48" i="5" s="1"/>
  <c r="K67" i="1"/>
  <c r="I67" i="1"/>
  <c r="K43" i="1"/>
  <c r="I43" i="1"/>
  <c r="K29" i="1"/>
  <c r="I29" i="1"/>
  <c r="K39" i="1"/>
  <c r="K14" i="1"/>
  <c r="I14" i="1"/>
  <c r="K81" i="1"/>
  <c r="I81" i="1"/>
  <c r="K16" i="1"/>
  <c r="I16" i="1"/>
  <c r="K8" i="1"/>
  <c r="I8" i="1"/>
  <c r="K9" i="1"/>
  <c r="I9" i="1"/>
  <c r="K45" i="1"/>
  <c r="I45" i="1"/>
  <c r="K52" i="1"/>
  <c r="I52" i="1"/>
  <c r="K26" i="1"/>
  <c r="I26" i="1"/>
  <c r="K4" i="1"/>
  <c r="I4" i="1"/>
  <c r="K61" i="1"/>
  <c r="I61" i="1"/>
  <c r="K54" i="1"/>
  <c r="I54" i="1"/>
  <c r="K78" i="1"/>
  <c r="I78" i="1"/>
  <c r="K10" i="1"/>
  <c r="I10" i="1"/>
  <c r="K53" i="1"/>
  <c r="I53" i="1"/>
  <c r="K68" i="1"/>
  <c r="I68" i="1"/>
  <c r="K50" i="1"/>
  <c r="I50" i="1"/>
  <c r="K35" i="1"/>
  <c r="I35" i="1"/>
  <c r="K30" i="1"/>
  <c r="I30" i="1"/>
  <c r="K11" i="1"/>
  <c r="I11" i="1"/>
  <c r="K66" i="1"/>
  <c r="I66" i="1"/>
  <c r="K80" i="1"/>
  <c r="I80" i="1"/>
  <c r="K49" i="1"/>
  <c r="I49" i="1"/>
  <c r="K40" i="1"/>
  <c r="I40" i="1"/>
  <c r="K62" i="1"/>
  <c r="I62" i="1"/>
  <c r="K57" i="1"/>
  <c r="I57" i="1"/>
  <c r="K37" i="1"/>
  <c r="I37" i="1"/>
  <c r="K19" i="1"/>
  <c r="I19" i="1"/>
  <c r="K23" i="1"/>
  <c r="I23" i="1"/>
  <c r="K20" i="1"/>
  <c r="I20" i="1"/>
  <c r="K13" i="1"/>
  <c r="I13" i="1"/>
  <c r="K63" i="1"/>
  <c r="I63" i="1"/>
  <c r="K15" i="1"/>
  <c r="I15" i="1"/>
  <c r="K3" i="1"/>
  <c r="D23" i="2" l="1"/>
  <c r="D22" i="2"/>
  <c r="C23" i="2"/>
  <c r="C22" i="2"/>
  <c r="C14" i="2"/>
  <c r="D14" i="2"/>
  <c r="D12" i="2"/>
  <c r="D25" i="2"/>
  <c r="D26" i="2"/>
  <c r="D21" i="2"/>
  <c r="C21" i="2"/>
  <c r="D7" i="2"/>
  <c r="D19" i="2"/>
  <c r="D24" i="2"/>
  <c r="D9" i="2"/>
  <c r="D10" i="2"/>
  <c r="D17" i="2"/>
  <c r="C13" i="2"/>
  <c r="C17" i="2"/>
  <c r="C12" i="2"/>
  <c r="C9" i="2"/>
  <c r="C10" i="2"/>
  <c r="C25" i="2"/>
  <c r="C26" i="2"/>
  <c r="C19" i="2"/>
  <c r="C6" i="2"/>
  <c r="D6" i="2"/>
  <c r="C7" i="2"/>
  <c r="C24" i="2"/>
  <c r="C16" i="2"/>
  <c r="C20" i="2"/>
  <c r="D16" i="2"/>
  <c r="D20" i="2"/>
  <c r="D13" i="2"/>
  <c r="C11" i="2"/>
  <c r="C8" i="2"/>
  <c r="D11" i="2"/>
  <c r="C5" i="2"/>
  <c r="D8" i="2"/>
  <c r="D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<sst xmlns="http://schemas.openxmlformats.org/spreadsheetml/2006/main" count="828" uniqueCount="516">
  <si>
    <t>Yoann Ignatiew</t>
  </si>
  <si>
    <t>Gérant obligataire - Spécialisation : Monétaire et Court terme</t>
  </si>
  <si>
    <t>Yann Roux</t>
  </si>
  <si>
    <t>Gérant - Actions européennes</t>
  </si>
  <si>
    <t>Vincent Imeneuraët</t>
  </si>
  <si>
    <t>Valérie Oelhoffen</t>
  </si>
  <si>
    <t>Gérant en Architecture Ouverte</t>
  </si>
  <si>
    <t>Thomas Ayache</t>
  </si>
  <si>
    <t>Responsable de la gestion thématique</t>
  </si>
  <si>
    <t>Thierry Rigaudière</t>
  </si>
  <si>
    <t>Gérant - Actions américaines</t>
  </si>
  <si>
    <t>Thierry Combes</t>
  </si>
  <si>
    <t>Stéphane Gaultier de Kermoal</t>
  </si>
  <si>
    <t>Gérant obligataire - Spécialisation : Crédit IG et Crossover</t>
  </si>
  <si>
    <t>Philippe Lomné</t>
  </si>
  <si>
    <t>Paul Reuge</t>
  </si>
  <si>
    <t>Gérant obligataire et référent ESG - Spécialisation : Crédit IG, Crossover, et fonds ESG</t>
  </si>
  <si>
    <t>Nicolas Racaud</t>
  </si>
  <si>
    <t>Nathalie Bourdoncle</t>
  </si>
  <si>
    <t>Mathieu Six</t>
  </si>
  <si>
    <t>Directeur de la gestion en architecture ouverte</t>
  </si>
  <si>
    <t>Marc Terras</t>
  </si>
  <si>
    <t>Ludivine de Quincerot</t>
  </si>
  <si>
    <t>Responsable de la Gestion
High Yield &amp; Obligations Convertibles</t>
  </si>
  <si>
    <t>Kristell Agaësse</t>
  </si>
  <si>
    <t>Gérant obligataire - Spécialisation : Emprunts d'Etats et Inflation</t>
  </si>
  <si>
    <t>Julien Boy</t>
  </si>
  <si>
    <t>Responsable des Solutions d'Investissement</t>
  </si>
  <si>
    <t>Etienne Rouzeau</t>
  </si>
  <si>
    <t>Emmanuel Petit</t>
  </si>
  <si>
    <t>Charles-Edouard Bilbault</t>
  </si>
  <si>
    <t>Anthony Bailly</t>
  </si>
  <si>
    <t>Gérant analyste
Petites et moyennes capitalisations
Product Specialist</t>
  </si>
  <si>
    <t>Alban Seydoux</t>
  </si>
  <si>
    <t>Nombre d'années dans la société</t>
  </si>
  <si>
    <t>Date d'entrée dans la société</t>
  </si>
  <si>
    <t>Nombre d'années d'expérience</t>
  </si>
  <si>
    <t>Date d'entrée dans l'industrie</t>
  </si>
  <si>
    <t>Nom</t>
  </si>
  <si>
    <t>Ambre Laurenson</t>
  </si>
  <si>
    <t>Analyste multigestion</t>
  </si>
  <si>
    <t>Andrea Sekularac</t>
  </si>
  <si>
    <t>Analyste crédit</t>
  </si>
  <si>
    <t>Edward Luu</t>
  </si>
  <si>
    <t>Elsa Fernandez</t>
  </si>
  <si>
    <t>Gabriel Hors</t>
  </si>
  <si>
    <t>Gilles Pophillat</t>
  </si>
  <si>
    <t>Henri Captier</t>
  </si>
  <si>
    <t>Henry Ndong</t>
  </si>
  <si>
    <t>Responsable de l'analyse crédit</t>
  </si>
  <si>
    <t>Jade Weill</t>
  </si>
  <si>
    <t>Jean-Guillaume Demares</t>
  </si>
  <si>
    <t>Jérôme Loire</t>
  </si>
  <si>
    <t>Laurent Cheng</t>
  </si>
  <si>
    <t>Linh Mansion</t>
  </si>
  <si>
    <t>Responsable de la Recherche - Architecture ouverte</t>
  </si>
  <si>
    <t>Louis Perfumo</t>
  </si>
  <si>
    <t>Louise Zhuoya Li</t>
  </si>
  <si>
    <t>Marc-Antoine Collard</t>
  </si>
  <si>
    <t>Chef économiste – Directeur de la recherche macroéconomique</t>
  </si>
  <si>
    <t>Mirthula Pirapakaran</t>
  </si>
  <si>
    <t>Morgane Wespieser</t>
  </si>
  <si>
    <t>Natacha Rousset</t>
  </si>
  <si>
    <t>Pierre Hauvette</t>
  </si>
  <si>
    <t>Thomas Vincent</t>
  </si>
  <si>
    <t>Vincent Gouzon</t>
  </si>
  <si>
    <t>Responsable Solutions d'Investissement</t>
  </si>
  <si>
    <t>Jorge Velandia</t>
  </si>
  <si>
    <t>Alain Massiera</t>
  </si>
  <si>
    <t>Associé-Gérant, Responsable de la Banque privée et de la Gestion d'actifs en France</t>
  </si>
  <si>
    <t>Didier Bouvignies</t>
  </si>
  <si>
    <t>Associé-Gérant, Directeur des gestions</t>
  </si>
  <si>
    <t>Pierre Baudard</t>
  </si>
  <si>
    <t>Associé-Gérant, Directeur Général</t>
  </si>
  <si>
    <t>Fonction</t>
  </si>
  <si>
    <t>Comité exécutif</t>
  </si>
  <si>
    <t>Gérant</t>
  </si>
  <si>
    <t>Analyste</t>
  </si>
  <si>
    <t>Céline Maréchal</t>
  </si>
  <si>
    <t>Éric Lancien</t>
  </si>
  <si>
    <t>Fanny Daeschner</t>
  </si>
  <si>
    <t>Responsable opérationnel</t>
  </si>
  <si>
    <t>Directeur des risques, Rothschild Martin Maurel</t>
  </si>
  <si>
    <t xml:space="preserve">Titre </t>
  </si>
  <si>
    <t>Ugo Kiraz</t>
  </si>
  <si>
    <t>Directrice Juridique et RCCI R&amp;Co AM</t>
  </si>
  <si>
    <t>Directrice des risques, R&amp;Co AM</t>
  </si>
  <si>
    <t>Samuel Gruen</t>
  </si>
  <si>
    <t>Michael Longeard</t>
  </si>
  <si>
    <t>Gérant High Yield / Convertibles</t>
  </si>
  <si>
    <t>Solweig Pierronnet</t>
  </si>
  <si>
    <t>Analyste crédit ESG</t>
  </si>
  <si>
    <t>Natally Loaiza Santamaria</t>
  </si>
  <si>
    <t>Valériya Mukhina Coillot</t>
  </si>
  <si>
    <t>Sergio Gallo</t>
  </si>
  <si>
    <t>Abel Amine</t>
  </si>
  <si>
    <t>Antoine Da Silva</t>
  </si>
  <si>
    <t>Equipe Gestion Obligataire</t>
  </si>
  <si>
    <t>Alice Lagny</t>
  </si>
  <si>
    <t>Klara Sok</t>
  </si>
  <si>
    <t>Co-gérante du portefeuille R-co Thematic Blockchain Global Equity</t>
  </si>
  <si>
    <t>Assistant de gestion multigestion</t>
  </si>
  <si>
    <t>Associé-Gérant, Responsable de la gestion obligataire. Spécialisation : Credit IG et crossover</t>
  </si>
  <si>
    <t>Associé-Gérant, Responsable Gestion Internationale et gestion diversifiée</t>
  </si>
  <si>
    <t>Product Specialist - Valor</t>
  </si>
  <si>
    <t xml:space="preserve"> Analyste Actions Européennes</t>
  </si>
  <si>
    <t>Analyste ESG et responsable de l'engagement</t>
  </si>
  <si>
    <t>Expérience moyenne par équipe</t>
  </si>
  <si>
    <t>Equipe</t>
  </si>
  <si>
    <t>Industrie</t>
  </si>
  <si>
    <t>Société</t>
  </si>
  <si>
    <t>Equipe obligataire (total)</t>
  </si>
  <si>
    <t>Gérants</t>
  </si>
  <si>
    <t>Analystes</t>
  </si>
  <si>
    <t>Product specialist</t>
  </si>
  <si>
    <t>Actions Zones Européennes</t>
  </si>
  <si>
    <t>Equipe multigestion (total)</t>
  </si>
  <si>
    <t>Thématiques et Small Cap (total)</t>
  </si>
  <si>
    <t>Spécialistes ESG</t>
  </si>
  <si>
    <t>Ingénieur financier et ESG data scientist</t>
  </si>
  <si>
    <t>Equipe Solutions d'Investissement (total)</t>
  </si>
  <si>
    <t>Analystes Private Assets (total)</t>
  </si>
  <si>
    <t>Membre de l'équipe?</t>
  </si>
  <si>
    <t>Equipe Investissement Durable (total)</t>
  </si>
  <si>
    <t>Henry Ndong, Jérôme Loire, Mirthula Pirapakaran, Solweig Pierronnet, Natally Loaiza Santamaria</t>
  </si>
  <si>
    <t>Henri Captier, Louise Zhuoya Li, Sergio Gallo, Abel Amine</t>
  </si>
  <si>
    <t>Yoann Ignatiew, Charles-Edouard Bilbault, Klara Sok</t>
  </si>
  <si>
    <t>Valérie Oelhoffen, Nathalie Bourdoncle, Thierry Rigaudière, Paul Reuge, Alban Seydoux</t>
  </si>
  <si>
    <t>Andrea Sekularac, Alice Lagny</t>
  </si>
  <si>
    <t>+Ludivine de Quincerot</t>
  </si>
  <si>
    <t>Etienne Rouzeau, Vincent Gouzon</t>
  </si>
  <si>
    <t>Jean-Guillaume Demares, Gilles Pophillat, Louis Perfumo</t>
  </si>
  <si>
    <t>Analystes crédit</t>
  </si>
  <si>
    <t>Analystes multigestion</t>
  </si>
  <si>
    <t>Analystes dédiés</t>
  </si>
  <si>
    <t>Gamme Valor (total)*</t>
  </si>
  <si>
    <t>*hors Valor Balanced</t>
  </si>
  <si>
    <t>Gabriel Hors, Natacha Rousset, Jorge Velandia</t>
  </si>
  <si>
    <t>Nicolas Antérieux</t>
  </si>
  <si>
    <t>Julien Baumont</t>
  </si>
  <si>
    <t>Thierry Merceron</t>
  </si>
  <si>
    <t>Négociateur</t>
  </si>
  <si>
    <t>Equipe Négociateurs (total)</t>
  </si>
  <si>
    <t>Nicolas Antérieux, Julien Baumont, Thierry Merceron</t>
  </si>
  <si>
    <t>Managing Director, Responsable de l'investissement durable
Gérante de fonds diversifiés</t>
  </si>
  <si>
    <t>Gérant - Actions européennes et Responsable de l'analyse actions européennes</t>
  </si>
  <si>
    <t>Nombre de personnes dans l'équipe</t>
  </si>
  <si>
    <t>assistant de gestion</t>
  </si>
  <si>
    <r>
      <t xml:space="preserve">Anthony Bailly, Vincent Imeneuraët, </t>
    </r>
    <r>
      <rPr>
        <sz val="10"/>
        <color theme="9" tint="-0.24994659260841701"/>
        <rFont val="Arial"/>
        <family val="2"/>
      </rPr>
      <t>Ugo Kiraz</t>
    </r>
  </si>
  <si>
    <t>dans la formule il y a un +1 pour LQ</t>
  </si>
  <si>
    <t xml:space="preserve">Pierre Hauvette, Linh Mansion, Jade Weill, Morgane Wespieser, Ambre Laurenson, </t>
  </si>
  <si>
    <r>
      <t xml:space="preserve">Marc Terras, Thomas Ayache, Stéphane Gaultier de Kermoal, Mathieu Six, </t>
    </r>
    <r>
      <rPr>
        <sz val="10"/>
        <color theme="9" tint="-0.24994659260841701"/>
        <rFont val="Arial"/>
        <family val="2"/>
      </rPr>
      <t>Laurent Cheng</t>
    </r>
  </si>
  <si>
    <r>
      <t xml:space="preserve">Emmanuel Petit, Julien Boy, Nicolas Racaud, Philippe Lomné, Kristell Agaësse, Michael Longeard, Yann Roux, Samuel Gruen, </t>
    </r>
    <r>
      <rPr>
        <sz val="10"/>
        <color theme="9" tint="-0.24994659260841701"/>
        <rFont val="Arial"/>
        <family val="2"/>
      </rPr>
      <t>Antoine Da Silva</t>
    </r>
  </si>
  <si>
    <t>Data Scientist ESG &amp; Ingénieur financier</t>
  </si>
  <si>
    <t>+ gestion thématique</t>
  </si>
  <si>
    <t>ne font plus partie AM =&gt; Banque Privée RMM</t>
  </si>
  <si>
    <t>Tatiana Velandia</t>
  </si>
  <si>
    <t>Eva Olejniczak</t>
  </si>
  <si>
    <t>Grégoire du Mesnil du Buisson</t>
  </si>
  <si>
    <t>Gérant - Responsable de la gestion Actions européennes</t>
  </si>
  <si>
    <t>Gérante - Actions thématiques</t>
  </si>
  <si>
    <t>Obligataire</t>
  </si>
  <si>
    <t>Investissement Durable</t>
  </si>
  <si>
    <t>Valor (gamme)</t>
  </si>
  <si>
    <t>Multigestion (Architecture ouverte)</t>
  </si>
  <si>
    <t>Solutions d'investissement</t>
  </si>
  <si>
    <t>Recherche macroéconomique</t>
  </si>
  <si>
    <t>Négociation</t>
  </si>
  <si>
    <t>Sum of Date d'entrée dans l'industrie</t>
  </si>
  <si>
    <t>Sum of Nombre d'années d'expérience</t>
  </si>
  <si>
    <t>Sum of Date d'entrée dans la société</t>
  </si>
  <si>
    <t>Sum of Nombre d'années dans la société</t>
  </si>
  <si>
    <t>Actions Thématiques</t>
  </si>
  <si>
    <t>Actions USA</t>
  </si>
  <si>
    <t>Actions Européennes</t>
  </si>
  <si>
    <t>Average of Nombre d'années d'expérience</t>
  </si>
  <si>
    <t>Average of Nombre d'années dans la société</t>
  </si>
  <si>
    <t>Années d'expérience</t>
  </si>
  <si>
    <r>
      <t>Ajouter (</t>
    </r>
    <r>
      <rPr>
        <i/>
        <sz val="8"/>
        <rFont val="Arial"/>
        <family val="2"/>
      </rPr>
      <t>arrivée</t>
    </r>
    <r>
      <rPr>
        <sz val="8"/>
        <rFont val="Arial"/>
        <family val="2"/>
      </rPr>
      <t>) ou enlever (</t>
    </r>
    <r>
      <rPr>
        <i/>
        <sz val="8"/>
        <rFont val="Arial"/>
        <family val="2"/>
      </rPr>
      <t>départ</t>
    </r>
    <r>
      <rPr>
        <sz val="8"/>
        <rFont val="Arial"/>
        <family val="2"/>
      </rPr>
      <t>) une ligne dans l'onglet "Data"</t>
    </r>
  </si>
  <si>
    <t xml:space="preserve">Remplir les infos (équipe, années d'expérience…) </t>
  </si>
  <si>
    <t>Etape 1 - Informations</t>
  </si>
  <si>
    <t>Etape 2 - Onglet TCD</t>
  </si>
  <si>
    <t>Cliquez n'importe où sur le premier TCD</t>
  </si>
  <si>
    <t>Rendez-vous dans "PivotTable Analyze"</t>
  </si>
  <si>
    <t xml:space="preserve">Puis sélectionnez Refresh. </t>
  </si>
  <si>
    <t xml:space="preserve">Répétez l'opération pour chaque TCD. </t>
  </si>
  <si>
    <t>Risques</t>
  </si>
  <si>
    <t>Gabriel Ernault</t>
  </si>
  <si>
    <t>Salma Alami-Drideb</t>
  </si>
  <si>
    <t>Alexandre Teran</t>
  </si>
  <si>
    <t>Alexandre Case</t>
  </si>
  <si>
    <t>Responsable Risques de Marchés</t>
  </si>
  <si>
    <t>Analyste Risques</t>
  </si>
  <si>
    <t>Comment mettre à jour le tableau en cas d'un départ ou d'une arrivée de collaborateur ? Ou début nouvelle année</t>
  </si>
  <si>
    <t>Spécialiste ESG</t>
  </si>
  <si>
    <t>Product Specialist</t>
  </si>
  <si>
    <t>Étiquettes de lignes</t>
  </si>
  <si>
    <t>Total général</t>
  </si>
  <si>
    <t>(Tous)</t>
  </si>
  <si>
    <t>Ma-Ly Tan</t>
  </si>
  <si>
    <t>Pierre Lecce</t>
  </si>
  <si>
    <t>(vide)</t>
  </si>
  <si>
    <t>(Plusieurs éléments)</t>
  </si>
  <si>
    <t>Alexandre Morabito</t>
  </si>
  <si>
    <t>Clara Davitian</t>
  </si>
  <si>
    <t>Private Asset</t>
  </si>
  <si>
    <t>Analyste Private Asset</t>
  </si>
  <si>
    <t>Iris Bastien</t>
  </si>
  <si>
    <t>Jennifer Ruau</t>
  </si>
  <si>
    <t>Théo Baptiste</t>
  </si>
  <si>
    <t>Analyste – actions internationales</t>
  </si>
  <si>
    <t>Gérant de portefeuilles diversifiés et actions internationales</t>
  </si>
  <si>
    <t>Paul Contamin</t>
  </si>
  <si>
    <t>Analyste / Assistant de gestion</t>
  </si>
  <si>
    <t>Nicolas Weber</t>
  </si>
  <si>
    <t>Frédéric Chaix-Bryan</t>
  </si>
  <si>
    <t>Guillaume Mouton</t>
  </si>
  <si>
    <t>Nicolas Pelinq</t>
  </si>
  <si>
    <t>Inas Rachidi</t>
  </si>
  <si>
    <t>Analyste/ Assistant de gestion</t>
  </si>
  <si>
    <t xml:space="preserve">Assistant de gestion </t>
  </si>
  <si>
    <t>Assistant de gestion</t>
  </si>
  <si>
    <t>Fonction détaillee</t>
  </si>
  <si>
    <t>Nursultan Yessirkep</t>
  </si>
  <si>
    <t>Vincent Rasclard</t>
  </si>
  <si>
    <t>Marketing</t>
  </si>
  <si>
    <t>Responsable Marketing, Reporting et Service Client</t>
  </si>
  <si>
    <t>Banque Privée</t>
  </si>
  <si>
    <t>Responsable</t>
  </si>
  <si>
    <t>Merge code (Exp Société)</t>
  </si>
  <si>
    <t>Louise Li</t>
  </si>
  <si>
    <t>Merge code (Exp Industrie)</t>
  </si>
  <si>
    <t>Expérience moyenne de l'équipe</t>
  </si>
  <si>
    <t>Obligataire (total)</t>
  </si>
  <si>
    <t>Obligataire (gérant + assistant)</t>
  </si>
  <si>
    <t>Obligataire (analyste)</t>
  </si>
  <si>
    <t>Actions européennes (total)</t>
  </si>
  <si>
    <t>Actions thématiques (total)</t>
  </si>
  <si>
    <t>Actions européennes (gérants)</t>
  </si>
  <si>
    <t>Actions européennes (analystes)</t>
  </si>
  <si>
    <t>Valor (total)</t>
  </si>
  <si>
    <t>Gérants Valor</t>
  </si>
  <si>
    <t>Analystes Valor</t>
  </si>
  <si>
    <t>Multigestion (total)</t>
  </si>
  <si>
    <t>Multigestion (gérants)</t>
  </si>
  <si>
    <t>Multigestion analystes</t>
  </si>
  <si>
    <t>Membres de l'équipe</t>
  </si>
  <si>
    <t>Obligataire (analystes)</t>
  </si>
  <si>
    <t>XPMOYAllTeamTaux</t>
  </si>
  <si>
    <t>XPMOYPMTaux</t>
  </si>
  <si>
    <t>XPMOYAnalystesTaux</t>
  </si>
  <si>
    <t>XPMOYAllThematics</t>
  </si>
  <si>
    <t>XPMOYAnalystesActions</t>
  </si>
  <si>
    <t>XPMOYAllValorTeam</t>
  </si>
  <si>
    <t>XPMOYPMValorTeam</t>
  </si>
  <si>
    <t>XPMOYAnalystesValor</t>
  </si>
  <si>
    <t>XPMOYMulti</t>
  </si>
  <si>
    <t>XPMOYPMMulti</t>
  </si>
  <si>
    <t>XPMOYAnalystesMulti</t>
  </si>
  <si>
    <t>NAMETEAMTaux</t>
  </si>
  <si>
    <t>NAMETEAMValor</t>
  </si>
  <si>
    <t>NAMETEAMMulti</t>
  </si>
  <si>
    <t>Nb personnes équipes</t>
  </si>
  <si>
    <t>NBAllTeamTaux</t>
  </si>
  <si>
    <t>NBPMTeamTaux</t>
  </si>
  <si>
    <t>NBAnalystesTaux</t>
  </si>
  <si>
    <t>NBAllEUEquitiesTeam</t>
  </si>
  <si>
    <t>NAMETEAMEUEquities</t>
  </si>
  <si>
    <t>XPMOYPMEU Equities</t>
  </si>
  <si>
    <t>XPMOYAllEUEquities</t>
  </si>
  <si>
    <t>NBAllThematicsTeam</t>
  </si>
  <si>
    <t>NBPMEUEquitiesTeam</t>
  </si>
  <si>
    <t>NBAnalystesEUEquities</t>
  </si>
  <si>
    <t>NBAllValorTeam</t>
  </si>
  <si>
    <t>NBPMValorTeam</t>
  </si>
  <si>
    <t>NBAnalystesValor</t>
  </si>
  <si>
    <t>NBAllMultiTeam</t>
  </si>
  <si>
    <t>NBPMMulti</t>
  </si>
  <si>
    <t>NBAnalystesMulti</t>
  </si>
  <si>
    <t>Lucas Fallone</t>
  </si>
  <si>
    <t>Nathan Gamon</t>
  </si>
  <si>
    <t>Julien Dapsens</t>
  </si>
  <si>
    <t>Augustin Giros</t>
  </si>
  <si>
    <t>XPINDUS_SGruen</t>
  </si>
  <si>
    <t>XPSDG_SGruen</t>
  </si>
  <si>
    <t>Gérant obligataire _ Spécialisation : Crédit IG, Crossover</t>
  </si>
  <si>
    <t>XPINDUS_MSix</t>
  </si>
  <si>
    <t>XPSDG_MSix</t>
  </si>
  <si>
    <t>XPINDUS_MichaLon</t>
  </si>
  <si>
    <t>XPSDG_MichaLon</t>
  </si>
  <si>
    <t>XPINDUS_MirthulaPi</t>
  </si>
  <si>
    <t>XPSDG_MirthulaPi</t>
  </si>
  <si>
    <t>XPINDUS_MorganeWes</t>
  </si>
  <si>
    <t>XPSDG_MorganeWes</t>
  </si>
  <si>
    <t>XPINDUS_Rousset</t>
  </si>
  <si>
    <t>XPSDG_Rousset</t>
  </si>
  <si>
    <t>XPINDUS_NLS</t>
  </si>
  <si>
    <t>XPSDG_NLS</t>
  </si>
  <si>
    <t>XPINDUS_Bourdoncle</t>
  </si>
  <si>
    <t>XPSDG_Bourdoncle</t>
  </si>
  <si>
    <t>XPINDUS_Gamon</t>
  </si>
  <si>
    <t>XPSDG_Gamon</t>
  </si>
  <si>
    <t>XPINDUS_Pelinq</t>
  </si>
  <si>
    <t>XPSDG_Pelinq</t>
  </si>
  <si>
    <t>XPINDUS_NicRacaud</t>
  </si>
  <si>
    <t>XPSDG_NicRacaud</t>
  </si>
  <si>
    <t>XPINDUS_NicWeber</t>
  </si>
  <si>
    <t>XPSDG_NicWeber</t>
  </si>
  <si>
    <t>XPINDUS_NursYessirkep</t>
  </si>
  <si>
    <t>XPSDG_NursYessirkep</t>
  </si>
  <si>
    <t>XPINDUS_PContamin</t>
  </si>
  <si>
    <t>XPSDG_PContamin</t>
  </si>
  <si>
    <t>XPINDUS_PReuge</t>
  </si>
  <si>
    <t>XPSDG_PReuge</t>
  </si>
  <si>
    <t>XPINDUS_PLomné</t>
  </si>
  <si>
    <t>XPSDG_PLomné</t>
  </si>
  <si>
    <t>XPINDUS_PB</t>
  </si>
  <si>
    <t>XPSDG_PB</t>
  </si>
  <si>
    <t>XPINDUS_Phauvette</t>
  </si>
  <si>
    <t>XPSDG_Phauvette</t>
  </si>
  <si>
    <t>XPINDUS_SalmaAD</t>
  </si>
  <si>
    <t>XPSDG_SalmaAD</t>
  </si>
  <si>
    <t>XPINDUS_SGallo</t>
  </si>
  <si>
    <t>XPSDG_SGallo</t>
  </si>
  <si>
    <t>XPINDUS_SolweigP</t>
  </si>
  <si>
    <t>XPSDG_SolweigP</t>
  </si>
  <si>
    <t>XPINDUS_TVelandia</t>
  </si>
  <si>
    <t>XPSDG_TVelandia</t>
  </si>
  <si>
    <t>XPINDUS_TBaptiste</t>
  </si>
  <si>
    <t>XPSDG_TBaptiste</t>
  </si>
  <si>
    <t>XPINDUS_TCombes</t>
  </si>
  <si>
    <t>XPSDG_TCombes</t>
  </si>
  <si>
    <t>XPINDUS_TRigaud</t>
  </si>
  <si>
    <t>XPSDG_TRigaud</t>
  </si>
  <si>
    <t>XPINDUS_TAyache</t>
  </si>
  <si>
    <t>XPSDG_TAyache</t>
  </si>
  <si>
    <t>XPINDUS_TVincent</t>
  </si>
  <si>
    <t>XPSDG_TVincent</t>
  </si>
  <si>
    <t>XPINDUS_UKiraz</t>
  </si>
  <si>
    <t>XPSDG_UKiraz</t>
  </si>
  <si>
    <t>XPINDUS_ValOel</t>
  </si>
  <si>
    <t>XPSDG_ValOel</t>
  </si>
  <si>
    <t>XPINDUS_VGouzon</t>
  </si>
  <si>
    <t>XPSDG_VGouzon</t>
  </si>
  <si>
    <t>XPINDUS_VImeneuraet</t>
  </si>
  <si>
    <t>XPSDG_VImeneuraet</t>
  </si>
  <si>
    <t>XPINDUS_VR</t>
  </si>
  <si>
    <t>XPSDG_VR</t>
  </si>
  <si>
    <t>XPINDUS_YRoux</t>
  </si>
  <si>
    <t>XPSDG_YRoux</t>
  </si>
  <si>
    <t>XPINDUS_YI</t>
  </si>
  <si>
    <t>XPSDG_YI</t>
  </si>
  <si>
    <t>XPSDG_MAC</t>
  </si>
  <si>
    <t>XPINDUS_AbelAm</t>
  </si>
  <si>
    <t>XPSDG_AbelAm</t>
  </si>
  <si>
    <t>XPSDG_</t>
  </si>
  <si>
    <t>XPINDUS_ASeydoux</t>
  </si>
  <si>
    <t>XPSDG_Aseydoux</t>
  </si>
  <si>
    <t>XPINDUS_ACase</t>
  </si>
  <si>
    <t>XPSDG_ACase</t>
  </si>
  <si>
    <t>XPINDUS_Morabito</t>
  </si>
  <si>
    <t>XPSDG_Morabito</t>
  </si>
  <si>
    <t>XPINDUS_Teran</t>
  </si>
  <si>
    <t>XPSDG_Teran</t>
  </si>
  <si>
    <t>XPINDUS_Lagny</t>
  </si>
  <si>
    <t>XPSDG_Lagny</t>
  </si>
  <si>
    <t>XPINDUS_AS</t>
  </si>
  <si>
    <t>XPSDG_AS</t>
  </si>
  <si>
    <t>XPINDUS_Bailly</t>
  </si>
  <si>
    <t>XPSDG_Bailly</t>
  </si>
  <si>
    <t>XPINDUS_ADS</t>
  </si>
  <si>
    <t>XPSDG_ADS</t>
  </si>
  <si>
    <t>XPINDUS_AGiros</t>
  </si>
  <si>
    <t>XPSDG_AGiros</t>
  </si>
  <si>
    <t>XPINDUS_CelMar</t>
  </si>
  <si>
    <t>XPSDG_CelMar</t>
  </si>
  <si>
    <t>XPINDUS_CEB</t>
  </si>
  <si>
    <t>XPSDG_CEB</t>
  </si>
  <si>
    <t>XPINDUS_DB</t>
  </si>
  <si>
    <t>XPSDG_DB</t>
  </si>
  <si>
    <t>XPINDUS_Luu</t>
  </si>
  <si>
    <t>XPSDG_Luu</t>
  </si>
  <si>
    <t>XPINDUS_</t>
  </si>
  <si>
    <t>XPINDUS_ElsaFer</t>
  </si>
  <si>
    <t>XPSDG_ElsaFer</t>
  </si>
  <si>
    <t>XPINDUS_EP</t>
  </si>
  <si>
    <t>XPSDG_EP</t>
  </si>
  <si>
    <t>XPINDUS_ELancien</t>
  </si>
  <si>
    <t>XPSDG_ELancien</t>
  </si>
  <si>
    <t>XPINDUS_ERouzeau</t>
  </si>
  <si>
    <t>XPSDG_ERouzeau</t>
  </si>
  <si>
    <t>XPINDUS_EvaOle</t>
  </si>
  <si>
    <t>XPSDG_EvaOle</t>
  </si>
  <si>
    <t>XPINDUS_FanDae</t>
  </si>
  <si>
    <t>XPSDG_FanDae</t>
  </si>
  <si>
    <t>XPINDUS_FredCB</t>
  </si>
  <si>
    <t>XPSDG_FredCB</t>
  </si>
  <si>
    <t>XPINDUS_GabErn</t>
  </si>
  <si>
    <t>XPSDG_GabErn</t>
  </si>
  <si>
    <t>XPINDUS_GabHors</t>
  </si>
  <si>
    <t>XPSDG_GabHors</t>
  </si>
  <si>
    <t>XPINDUS_GregDM</t>
  </si>
  <si>
    <t>XPSDG_GregDM</t>
  </si>
  <si>
    <t>XPINDUS_Mouton</t>
  </si>
  <si>
    <t>XPSDG_Mouton</t>
  </si>
  <si>
    <t>XPINDUS_Captier</t>
  </si>
  <si>
    <t>XPSDG_Captier</t>
  </si>
  <si>
    <t>XPINDUS_Ndong</t>
  </si>
  <si>
    <t>XPSDG_Ndong</t>
  </si>
  <si>
    <t>XPINDUS_IRachidi</t>
  </si>
  <si>
    <t>XPSDG_IRachidi</t>
  </si>
  <si>
    <t>XPINDUS_IrisBas</t>
  </si>
  <si>
    <t>XPSDG_IrisBas</t>
  </si>
  <si>
    <t>XPINDUS_JWeill</t>
  </si>
  <si>
    <t>XPSDG_JWeill</t>
  </si>
  <si>
    <t>XPINDUS_JRuau</t>
  </si>
  <si>
    <t>XPSDG_JRuau</t>
  </si>
  <si>
    <t>XPINDUS_JLoire</t>
  </si>
  <si>
    <t>XPSDG_JLoire</t>
  </si>
  <si>
    <t>XPINDUS_JBaumont</t>
  </si>
  <si>
    <t>XPSDG_Jbaumont</t>
  </si>
  <si>
    <t>XPINDUS_JBoy</t>
  </si>
  <si>
    <t>XPSDG_JBoy</t>
  </si>
  <si>
    <t>XPINDUS_JDapsens</t>
  </si>
  <si>
    <t>XPSDG_JDapsens</t>
  </si>
  <si>
    <t>XPINDUS_Sok</t>
  </si>
  <si>
    <t>XPSDG_Sok</t>
  </si>
  <si>
    <t>XPINDUS_KriAgaesse</t>
  </si>
  <si>
    <t>XPSDG_KriAgaesse</t>
  </si>
  <si>
    <t>XPINDUS_LCheng</t>
  </si>
  <si>
    <t>XPSDG_LCheng</t>
  </si>
  <si>
    <t>XPINDUS_LMansion</t>
  </si>
  <si>
    <t>XPSDG_LMansion</t>
  </si>
  <si>
    <t>XPINDUS_Li</t>
  </si>
  <si>
    <t>XPSDG_Li</t>
  </si>
  <si>
    <t>XPINDUS_LFallone</t>
  </si>
  <si>
    <t>XPSDG_LFallone</t>
  </si>
  <si>
    <t>XPINDUS_LDQ</t>
  </si>
  <si>
    <t>XPSDG_LDQ</t>
  </si>
  <si>
    <t>XPINDUS_MTerras</t>
  </si>
  <si>
    <t>XPSDG_MTerras</t>
  </si>
  <si>
    <t>XPINDUS_MAC</t>
  </si>
  <si>
    <t>SUIVI DES MERGE CODES QVIDIAN</t>
  </si>
  <si>
    <t>Pilotage fonds par fonds des textes d’expérience — campagne 2026 / anticipation 2027</t>
  </si>
  <si>
    <t>MODE D’EMPLOI</t>
  </si>
  <si>
    <t>Commencez par l’onglet Suivi Qvidian. Renseignez les ID de textes et les merge codes, puis passez le statut à Terminé. Les collaborateurs à 0 an sont identifiés automatiquement pour préparer leur activation l’année suivante.</t>
  </si>
  <si>
    <t>Onglet</t>
  </si>
  <si>
    <t>Utilité</t>
  </si>
  <si>
    <t>Suivi Qvidian</t>
  </si>
  <si>
    <t>Page de travail principale : avancement par fonds, ID Qvidian et anticipation 2027.</t>
  </si>
  <si>
    <t>Data</t>
  </si>
  <si>
    <t>Référentiel des collaborateurs, expériences et merge codes.</t>
  </si>
  <si>
    <t>Exp individuelle + team - TCD</t>
  </si>
  <si>
    <t>Tableaux croisés d’expérience individuelle et par équipe.</t>
  </si>
  <si>
    <t>Exp moyenne par équipe gestion</t>
  </si>
  <si>
    <t>Synthèse des expériences moyennes par équipe.</t>
  </si>
  <si>
    <t>Notice</t>
  </si>
  <si>
    <t>Instructions historiques de mise à jour du référentiel et des TCD.</t>
  </si>
  <si>
    <t>Fonds</t>
  </si>
  <si>
    <t>Statut</t>
  </si>
  <si>
    <t>ID sans code (0 an)</t>
  </si>
  <si>
    <t>R-co Conviction Credit 12M Euro</t>
  </si>
  <si>
    <t>R-co Conviction Credit Euro</t>
  </si>
  <si>
    <t>R-co Conviction Credit SD Euro</t>
  </si>
  <si>
    <t>R-co Conviction High Yield Euro</t>
  </si>
  <si>
    <t>R-co Conviction High Yield SD Euro</t>
  </si>
  <si>
    <t>R-co Conviction Subfin</t>
  </si>
  <si>
    <t>R-co Sérénité PEA</t>
  </si>
  <si>
    <t>R-co Target 2026 HY</t>
  </si>
  <si>
    <t>R-co Target 2027 HY</t>
  </si>
  <si>
    <t>R-co Target 2028 IG</t>
  </si>
  <si>
    <t>R-co Target 2029 HY</t>
  </si>
  <si>
    <t>R-co Target 2029 IG</t>
  </si>
  <si>
    <t>R-co Target 2030 IG</t>
  </si>
  <si>
    <t>R-co Target 2032 HY</t>
  </si>
  <si>
    <t>R-co Target 2032 IG</t>
  </si>
  <si>
    <t>R-co Valor Bond Opportunities</t>
  </si>
  <si>
    <t>R-co Conviction Club</t>
  </si>
  <si>
    <t>R-co Conviction Equity Multi Caps Euro</t>
  </si>
  <si>
    <t>R-co Conviction Equity Value Euro</t>
  </si>
  <si>
    <t>R-co Core Equity Europe</t>
  </si>
  <si>
    <t>R-co 4Change Convertibles Europe</t>
  </si>
  <si>
    <t>R-co 4Change Green Bonds</t>
  </si>
  <si>
    <t>R-co 4Change Moderate Allocation</t>
  </si>
  <si>
    <t>R-co Gold Mining</t>
  </si>
  <si>
    <t>R-co Strategic Metals and Mining</t>
  </si>
  <si>
    <t>R-co Thematic Blockchain Global Equity</t>
  </si>
  <si>
    <t>R-co Thematic Real Estate</t>
  </si>
  <si>
    <t>R-co Thematic Silver Plus</t>
  </si>
  <si>
    <t>R-co Valor</t>
  </si>
  <si>
    <t>R-co Valor 4Change Global Equity</t>
  </si>
  <si>
    <t>R-co Valor Balanced</t>
  </si>
  <si>
    <t>R-co Valor Equity</t>
  </si>
  <si>
    <t>RMM Court Terme</t>
  </si>
  <si>
    <t>Exp. industrie</t>
  </si>
  <si>
    <t>Exp. société</t>
  </si>
  <si>
    <t>SUIVI QVIDIAN — MERGE CODES EXPÉRIENCE</t>
  </si>
  <si>
    <t>Pilotage fonds par fonds | Campagne 2026 | Préparation des activations 2027</t>
  </si>
  <si>
    <t>PÉRIMÈTRE</t>
  </si>
  <si>
    <t>FONDS TERMINÉS</t>
  </si>
  <si>
    <t>ÉTAPES VALIDÉES</t>
  </si>
  <si>
    <t>EN COURS</t>
  </si>
  <si>
    <t>CAS 2027</t>
  </si>
  <si>
    <t>MODE D’EMPLOI  •  Cochez Industrie et Société lorsque les merge codes sont intégrés. Pour une personne à 0 an, laissez le code hors du texte et renseignez l’ID concerné ainsi que son nom dans les colonnes dédiées à 2027.</t>
  </si>
  <si>
    <t>Industrie OK</t>
  </si>
  <si>
    <t>Société OK</t>
  </si>
  <si>
    <t>ID + merge code Industrie</t>
  </si>
  <si>
    <t>ID + merge code Société</t>
  </si>
  <si>
    <t>Personne à activer en 2027</t>
  </si>
  <si>
    <t>Notes / blocages</t>
  </si>
  <si>
    <t>Dernière MAJ</t>
  </si>
  <si>
    <t>À PRÉPARER POUR 2027 — COLLABORATEURS À 0 AN</t>
  </si>
  <si>
    <t>Les codes ci-dessous ne doivent pas être intégrés en 2026. Ils deviennent les points de contrôle prioritaires lors du prochain changement d’année.</t>
  </si>
  <si>
    <t>Collaborateur</t>
  </si>
  <si>
    <t>Code industrie si 0</t>
  </si>
  <si>
    <t>Code société si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</si>
</sst>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\ &quot;fonds&quot;"/>
    <numFmt numFmtId="165" formatCode="0\ &quot;an&quot;"/>
  </numFmts>
  <fonts count="41" x14ac:knownFonts="1">
    <font>
      <sz val="8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i/>
      <sz val="10"/>
      <color theme="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20"/>
      <color rgb="FF1C355E"/>
      <name val="Aptos"/>
      <family val="2"/>
    </font>
    <font>
      <i/>
      <sz val="8"/>
      <color rgb="FFC00000"/>
      <name val="Arial"/>
      <family val="2"/>
    </font>
    <font>
      <sz val="10"/>
      <color theme="9" tint="-0.24994659260841701"/>
      <name val="Arial"/>
      <family val="2"/>
    </font>
    <font>
      <sz val="8"/>
      <color theme="9" tint="-0.24994659260841701"/>
      <name val="Arial"/>
      <family val="2"/>
    </font>
    <font>
      <sz val="10"/>
      <color rgb="FFC00000"/>
      <name val="Arial"/>
      <family val="2"/>
    </font>
    <font>
      <b/>
      <i/>
      <sz val="10"/>
      <color rgb="FFC00000"/>
      <name val="Arial"/>
      <family val="2"/>
    </font>
    <font>
      <i/>
      <sz val="10"/>
      <color rgb="FFC00000"/>
      <name val="Arial"/>
      <family val="2"/>
    </font>
    <font>
      <sz val="9"/>
      <color rgb="FF9C5700"/>
      <name val="Arial"/>
      <family val="2"/>
    </font>
    <font>
      <b/>
      <sz val="9"/>
      <color theme="0"/>
      <name val="Arial"/>
      <family val="2"/>
    </font>
    <font>
      <b/>
      <sz val="10"/>
      <color rgb="FF008000"/>
      <name val="Arial"/>
      <family val="2"/>
    </font>
    <font>
      <sz val="10"/>
      <color rgb="FF008000"/>
      <name val="Arial"/>
      <family val="2"/>
    </font>
    <font>
      <sz val="10"/>
      <color rgb="FF0000FF"/>
      <name val="Arial"/>
      <family val="2"/>
    </font>
    <font>
      <b/>
      <sz val="10"/>
      <color rgb="FF0000FF"/>
      <name val="Arial"/>
      <family val="2"/>
    </font>
    <font>
      <b/>
      <i/>
      <sz val="10"/>
      <color rgb="FF008000"/>
      <name val="Arial"/>
      <family val="2"/>
    </font>
    <font>
      <b/>
      <i/>
      <sz val="10"/>
      <color rgb="FF0000FF"/>
      <name val="Arial"/>
      <family val="2"/>
    </font>
    <font>
      <sz val="9"/>
      <color rgb="FF0000FF"/>
      <name val="Arial"/>
      <family val="2"/>
    </font>
    <font>
      <sz val="8"/>
      <color rgb="FF0000FF"/>
      <name val="Arial"/>
      <family val="2"/>
    </font>
    <font>
      <b/>
      <sz val="12"/>
      <color rgb="FF1C355E"/>
      <name val="Aptos"/>
      <family val="2"/>
    </font>
    <font>
      <b/>
      <sz val="8"/>
      <name val="Arial"/>
      <family val="2"/>
    </font>
    <font>
      <i/>
      <sz val="8"/>
      <name val="Arial"/>
      <family val="2"/>
    </font>
    <font>
      <b/>
      <i/>
      <sz val="8"/>
      <color theme="8" tint="-0.499984740745262"/>
      <name val="Arial"/>
      <family val="2"/>
    </font>
    <font>
      <b/>
      <sz val="8"/>
      <color rgb="FFFFFFFF"/>
      <name val="Arial"/>
      <family val="2"/>
    </font>
    <font>
      <b/>
      <sz val="18"/>
      <color rgb="FFFFFFFF"/>
      <name val="Arial"/>
      <family val="2"/>
    </font>
    <font>
      <i/>
      <sz val="10"/>
      <color rgb="FF666666"/>
      <name val="Arial"/>
      <family val="2"/>
    </font>
    <font>
      <sz val="8"/>
      <color rgb="FF334155"/>
      <name val="Arial"/>
      <family val="2"/>
    </font>
    <font>
      <b/>
      <sz val="8"/>
      <color rgb="FF18324A"/>
      <name val="Arial"/>
      <family val="2"/>
    </font>
    <font>
      <b/>
      <sz val="8"/>
      <color theme="0"/>
      <name val="Arial"/>
      <family val="2"/>
    </font>
    <font>
      <b/>
      <sz val="17"/>
      <color rgb="FFFFFFFF"/>
      <name val="Arial"/>
      <family val="2"/>
    </font>
    <font>
      <i/>
      <sz val="10"/>
      <color rgb="FF595959"/>
      <name val="Arial"/>
      <family val="2"/>
    </font>
    <font>
      <b/>
      <sz val="9"/>
      <color rgb="FF1F4E78"/>
      <name val="Arial"/>
      <family val="2"/>
    </font>
    <font>
      <b/>
      <sz val="16"/>
      <color rgb="FF203864"/>
      <name val="Arial"/>
      <family val="2"/>
    </font>
    <font>
      <sz val="9"/>
      <color rgb="FF594A00"/>
      <name val="Arial"/>
      <family val="2"/>
    </font>
    <font>
      <sz val="8"/>
      <color rgb="FF375623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C355E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rgb="FFFFEB9C"/>
      </patternFill>
    </fill>
    <fill>
      <patternFill patternType="solid">
        <fgColor rgb="FF18324A"/>
        <bgColor indexed="64"/>
      </patternFill>
    </fill>
    <fill>
      <patternFill patternType="solid">
        <fgColor rgb="FF2C7A7B"/>
        <bgColor indexed="64"/>
      </patternFill>
    </fill>
    <fill>
      <patternFill patternType="solid">
        <fgColor rgb="FFD9EAF0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2F6F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theme="5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rgb="FFCBD5E1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/>
      <diagonal/>
    </border>
  </borders>
  <cellStyleXfs count="2">
    <xf numFmtId="0" fontId="0" fillId="0" borderId="0" applyProtection="0"/>
    <xf numFmtId="0" fontId="15" fillId="4" borderId="0" applyNumberFormat="0" applyBorder="0" applyAlignment="0" applyProtection="0"/>
  </cellStyleXfs>
  <cellXfs count="108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1" fontId="2" fillId="0" borderId="5" xfId="0" applyNumberFormat="1" applyFont="1" applyBorder="1" applyAlignment="1">
      <alignment vertical="center" wrapText="1"/>
    </xf>
    <xf numFmtId="1" fontId="2" fillId="0" borderId="4" xfId="0" applyNumberFormat="1" applyFont="1" applyBorder="1" applyAlignment="1">
      <alignment vertical="center" wrapText="1"/>
    </xf>
    <xf numFmtId="0" fontId="6" fillId="3" borderId="6" xfId="0" applyFont="1" applyFill="1" applyBorder="1" applyAlignment="1">
      <alignment vertical="center"/>
    </xf>
    <xf numFmtId="1" fontId="2" fillId="3" borderId="7" xfId="0" applyNumberFormat="1" applyFont="1" applyFill="1" applyBorder="1" applyAlignment="1">
      <alignment vertical="center"/>
    </xf>
    <xf numFmtId="0" fontId="2" fillId="3" borderId="7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1" fontId="6" fillId="3" borderId="8" xfId="0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vertical="center"/>
    </xf>
    <xf numFmtId="1" fontId="2" fillId="3" borderId="10" xfId="0" applyNumberFormat="1" applyFont="1" applyFill="1" applyBorder="1" applyAlignment="1">
      <alignment vertical="center" wrapText="1"/>
    </xf>
    <xf numFmtId="1" fontId="2" fillId="3" borderId="7" xfId="0" applyNumberFormat="1" applyFont="1" applyFill="1" applyBorder="1" applyAlignment="1">
      <alignment vertical="center" wrapText="1"/>
    </xf>
    <xf numFmtId="1" fontId="6" fillId="3" borderId="9" xfId="0" applyNumberFormat="1" applyFont="1" applyFill="1" applyBorder="1" applyAlignment="1">
      <alignment horizontal="center" vertical="center"/>
    </xf>
    <xf numFmtId="1" fontId="2" fillId="3" borderId="8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1" fontId="2" fillId="3" borderId="7" xfId="0" quotePrefix="1" applyNumberFormat="1" applyFont="1" applyFill="1" applyBorder="1" applyAlignment="1">
      <alignment vertical="center" wrapText="1"/>
    </xf>
    <xf numFmtId="0" fontId="6" fillId="3" borderId="11" xfId="0" applyFont="1" applyFill="1" applyBorder="1" applyAlignment="1">
      <alignment vertical="center"/>
    </xf>
    <xf numFmtId="1" fontId="2" fillId="0" borderId="12" xfId="0" applyNumberFormat="1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vertical="center" wrapText="1"/>
    </xf>
    <xf numFmtId="0" fontId="9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0" fillId="0" borderId="0" xfId="0" quotePrefix="1" applyAlignment="1">
      <alignment vertical="center"/>
    </xf>
    <xf numFmtId="0" fontId="13" fillId="3" borderId="11" xfId="0" applyFont="1" applyFill="1" applyBorder="1" applyAlignment="1">
      <alignment vertical="center"/>
    </xf>
    <xf numFmtId="1" fontId="14" fillId="3" borderId="10" xfId="0" applyNumberFormat="1" applyFont="1" applyFill="1" applyBorder="1" applyAlignment="1">
      <alignment vertical="center" wrapText="1"/>
    </xf>
    <xf numFmtId="1" fontId="17" fillId="3" borderId="8" xfId="0" applyNumberFormat="1" applyFont="1" applyFill="1" applyBorder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1" fontId="18" fillId="0" borderId="9" xfId="0" applyNumberFormat="1" applyFont="1" applyBorder="1" applyAlignment="1">
      <alignment horizontal="center" vertical="center"/>
    </xf>
    <xf numFmtId="1" fontId="19" fillId="0" borderId="9" xfId="0" applyNumberFormat="1" applyFont="1" applyBorder="1" applyAlignment="1">
      <alignment horizontal="center" vertical="center"/>
    </xf>
    <xf numFmtId="1" fontId="17" fillId="3" borderId="13" xfId="0" applyNumberFormat="1" applyFont="1" applyFill="1" applyBorder="1" applyAlignment="1">
      <alignment horizontal="center" vertical="center"/>
    </xf>
    <xf numFmtId="1" fontId="20" fillId="3" borderId="13" xfId="0" applyNumberFormat="1" applyFont="1" applyFill="1" applyBorder="1" applyAlignment="1">
      <alignment horizontal="center" vertical="center"/>
    </xf>
    <xf numFmtId="1" fontId="21" fillId="3" borderId="13" xfId="0" applyNumberFormat="1" applyFont="1" applyFill="1" applyBorder="1" applyAlignment="1">
      <alignment horizontal="center" vertical="center"/>
    </xf>
    <xf numFmtId="1" fontId="22" fillId="3" borderId="13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24" fillId="0" borderId="0" xfId="0" applyFont="1"/>
    <xf numFmtId="0" fontId="25" fillId="0" borderId="0" xfId="0" applyFont="1" applyAlignment="1">
      <alignment vertical="center"/>
    </xf>
    <xf numFmtId="0" fontId="26" fillId="0" borderId="0" xfId="0" applyFont="1"/>
    <xf numFmtId="0" fontId="28" fillId="0" borderId="0" xfId="0" applyFont="1"/>
    <xf numFmtId="0" fontId="16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5" fillId="0" borderId="1" xfId="1" applyFill="1" applyBorder="1" applyAlignment="1">
      <alignment horizontal="left" vertical="center" indent="1"/>
    </xf>
    <xf numFmtId="0" fontId="15" fillId="0" borderId="1" xfId="1" applyFill="1" applyBorder="1" applyAlignment="1">
      <alignment horizontal="center" vertical="center" wrapText="1"/>
    </xf>
    <xf numFmtId="0" fontId="23" fillId="0" borderId="1" xfId="1" applyFont="1" applyFill="1" applyBorder="1" applyAlignment="1">
      <alignment horizontal="center" vertical="center"/>
    </xf>
    <xf numFmtId="1" fontId="15" fillId="0" borderId="1" xfId="1" applyNumberForma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/>
    </xf>
    <xf numFmtId="0" fontId="23" fillId="0" borderId="1" xfId="1" applyFont="1" applyFill="1" applyBorder="1" applyAlignment="1">
      <alignment horizontal="center" vertical="center" wrapText="1"/>
    </xf>
    <xf numFmtId="0" fontId="15" fillId="0" borderId="1" xfId="1" applyFill="1" applyBorder="1" applyAlignment="1">
      <alignment horizontal="center" vertical="center"/>
    </xf>
    <xf numFmtId="0" fontId="3" fillId="0" borderId="14" xfId="0" applyFont="1" applyBorder="1" applyAlignment="1">
      <alignment horizontal="left" vertical="center" indent="1"/>
    </xf>
    <xf numFmtId="0" fontId="3" fillId="0" borderId="14" xfId="0" applyFont="1" applyBorder="1" applyAlignment="1">
      <alignment horizontal="center" vertical="center" wrapText="1"/>
    </xf>
    <xf numFmtId="1" fontId="3" fillId="0" borderId="14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indent="1"/>
    </xf>
    <xf numFmtId="0" fontId="2" fillId="0" borderId="0" xfId="0" applyFont="1" applyAlignment="1">
      <alignment horizontal="center" vertical="center"/>
    </xf>
    <xf numFmtId="0" fontId="0" fillId="0" borderId="1" xfId="0" applyBorder="1"/>
    <xf numFmtId="0" fontId="19" fillId="0" borderId="14" xfId="0" applyFont="1" applyBorder="1" applyAlignment="1">
      <alignment horizontal="center" vertical="center"/>
    </xf>
    <xf numFmtId="0" fontId="26" fillId="0" borderId="0" xfId="0" applyFont="1" applyAlignment="1">
      <alignment horizontal="left" vertical="center" indent="1"/>
    </xf>
    <xf numFmtId="0" fontId="33" fillId="7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0" fillId="0" borderId="15" xfId="0" applyBorder="1" applyAlignment="1">
      <alignment vertical="center"/>
    </xf>
    <xf numFmtId="0" fontId="0" fillId="0" borderId="15" xfId="0" applyBorder="1" applyAlignment="1">
      <alignment vertical="center" wrapText="1"/>
    </xf>
    <xf numFmtId="14" fontId="0" fillId="0" borderId="0" xfId="0" applyNumberFormat="1" applyAlignment="1">
      <alignment horizontal="center" vertical="center"/>
    </xf>
    <xf numFmtId="0" fontId="0" fillId="11" borderId="0" xfId="0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0" borderId="0" xfId="0" applyFill="1" applyAlignment="1">
      <alignment vertical="center" wrapText="1"/>
    </xf>
    <xf numFmtId="0" fontId="0" fillId="0" borderId="17" xfId="0" applyBorder="1"/>
    <xf numFmtId="165" fontId="0" fillId="0" borderId="17" xfId="0" applyNumberFormat="1" applyBorder="1"/>
    <xf numFmtId="0" fontId="0" fillId="0" borderId="18" xfId="0" applyBorder="1"/>
    <xf numFmtId="165" fontId="0" fillId="0" borderId="18" xfId="0" applyNumberFormat="1" applyBorder="1"/>
    <xf numFmtId="0" fontId="29" fillId="12" borderId="0" xfId="0" applyFont="1" applyFill="1" applyAlignment="1">
      <alignment horizontal="center" vertical="center" wrapText="1"/>
    </xf>
    <xf numFmtId="0" fontId="34" fillId="12" borderId="16" xfId="0" applyFont="1" applyFill="1" applyBorder="1" applyAlignment="1">
      <alignment horizontal="center"/>
    </xf>
    <xf numFmtId="0" fontId="35" fillId="12" borderId="0" xfId="0" applyFont="1" applyFill="1"/>
    <xf numFmtId="0" fontId="36" fillId="0" borderId="0" xfId="0" applyFont="1"/>
    <xf numFmtId="0" fontId="37" fillId="8" borderId="0" xfId="0" applyFont="1" applyFill="1" applyAlignment="1">
      <alignment horizontal="center"/>
    </xf>
    <xf numFmtId="164" fontId="38" fillId="9" borderId="0" xfId="0" applyNumberFormat="1" applyFont="1" applyFill="1" applyAlignment="1">
      <alignment horizontal="center"/>
    </xf>
    <xf numFmtId="0" fontId="38" fillId="9" borderId="0" xfId="0" applyFont="1" applyFill="1" applyAlignment="1">
      <alignment horizontal="center"/>
    </xf>
    <xf numFmtId="0" fontId="39" fillId="10" borderId="0" xfId="0" applyFont="1" applyFill="1" applyAlignment="1">
      <alignment wrapText="1"/>
    </xf>
    <xf numFmtId="0" fontId="29" fillId="12" borderId="0" xfId="0" applyFont="1" applyFill="1"/>
    <xf numFmtId="0" fontId="40" fillId="11" borderId="0" xfId="0" applyFont="1" applyFill="1" applyAlignment="1">
      <alignment wrapText="1"/>
    </xf>
    <xf numFmtId="9" fontId="38" fillId="9" borderId="0" xfId="0" applyNumberFormat="1" applyFont="1" applyFill="1" applyAlignment="1">
      <alignment horizontal="center"/>
    </xf>
    <xf numFmtId="0" fontId="30" fillId="5" borderId="0" xfId="0" applyFont="1" applyFill="1" applyAlignment="1">
      <alignment vertical="center"/>
    </xf>
    <xf numFmtId="0" fontId="31" fillId="0" borderId="0" xfId="0" applyFont="1" applyAlignment="1">
      <alignment vertical="center"/>
    </xf>
    <xf numFmtId="0" fontId="29" fillId="6" borderId="0" xfId="0" applyFont="1" applyFill="1" applyAlignment="1">
      <alignment vertical="center"/>
    </xf>
    <xf numFmtId="0" fontId="32" fillId="0" borderId="0" xfId="0" applyFont="1" applyAlignment="1">
      <alignment vertical="center" wrapText="1"/>
    </xf>
  </cellXfs>
  <cellStyles count="2">
    <cellStyle name="Neutre" xfId="1" builtinId="28"/>
    <cellStyle name="Normal" xfId="0" builtinId="0"/>
  </cellStyles>
  <dxfs count="555">
    <dxf>
      <font>
        <color rgb="FF595959"/>
      </font>
      <fill>
        <patternFill patternType="solid">
          <fgColor indexed="64"/>
          <bgColor rgb="FFE7E6E6"/>
        </patternFill>
      </fill>
    </dxf>
    <dxf>
      <font>
        <color rgb="FF7F6000"/>
      </font>
      <fill>
        <patternFill patternType="solid">
          <fgColor indexed="64"/>
          <bgColor rgb="FFFFE699"/>
        </patternFill>
      </fill>
    </dxf>
    <dxf>
      <font>
        <color rgb="FF375623"/>
      </font>
      <fill>
        <patternFill patternType="solid">
          <fgColor indexed="64"/>
          <bgColor rgb="FFC6E0B4"/>
        </patternFill>
      </fill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b/>
        <sz val="9"/>
        <color theme="0"/>
      </font>
      <fill>
        <patternFill patternType="solid">
          <fgColor indexed="64"/>
          <bgColor rgb="FF1C355E"/>
        </patternFill>
      </fill>
      <alignment horizontal="center" vertical="center" wrapText="1"/>
    </dxf>
    <dxf>
      <font>
        <b/>
        <sz val="9"/>
        <color theme="0"/>
      </font>
      <fill>
        <patternFill patternType="solid">
          <fgColor indexed="64"/>
          <bgColor rgb="FF1C355E"/>
        </patternFill>
      </fill>
      <alignment horizontal="center" vertical="center" wrapText="1"/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b/>
        <color theme="0"/>
      </font>
      <fill>
        <patternFill patternType="solid">
          <fgColor indexed="64"/>
          <bgColor rgb="FF1C355E"/>
        </patternFill>
      </fill>
      <alignment horizontal="center" vertical="center"/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b/>
        <sz val="9"/>
        <color theme="0"/>
      </font>
      <fill>
        <patternFill patternType="solid">
          <fgColor indexed="64"/>
          <bgColor rgb="FF1C355E"/>
        </patternFill>
      </fill>
      <alignment horizontal="center" vertical="center" wrapText="1"/>
    </dxf>
    <dxf>
      <font>
        <sz val="9"/>
      </font>
    </dxf>
    <dxf>
      <alignment wrapText="1"/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numFmt numFmtId="19" formatCode="dd/mm/yyyy"/>
      <alignment horizontal="center" vertical="center"/>
    </dxf>
    <dxf>
      <alignment vertical="center" wrapText="1"/>
    </dxf>
    <dxf>
      <fill>
        <patternFill patternType="solid">
          <fgColor indexed="64"/>
          <bgColor rgb="FFFFF2CC"/>
        </patternFill>
      </fill>
      <alignment vertical="center" wrapText="1"/>
    </dxf>
    <dxf>
      <fill>
        <patternFill patternType="solid">
          <fgColor indexed="64"/>
          <bgColor rgb="FFFFF2CC"/>
        </patternFill>
      </fill>
      <alignment vertical="center" wrapText="1"/>
    </dxf>
    <dxf>
      <alignment vertical="center" wrapText="1"/>
    </dxf>
    <dxf>
      <alignment vertical="center" wrapText="1"/>
    </dxf>
    <dxf>
      <alignment horizontal="center" vertical="center"/>
    </dxf>
    <dxf>
      <fill>
        <patternFill patternType="solid">
          <fgColor indexed="64"/>
          <bgColor rgb="FFE2F0D9"/>
        </patternFill>
      </fill>
      <alignment horizontal="center" vertical="center"/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rgb="FFE2F0D9"/>
        </patternFill>
      </fill>
      <alignment horizontal="center" vertical="center"/>
      <extLst>
        <ext xmlns:xfpb="http://schemas.microsoft.com/office/spreadsheetml/2022/featurepropertybag" uri="{0417FA29-78FA-4A13-93AC-8FF0FAFDF519}">
          <xfpb:DXFComplement i="0"/>
        </ext>
      </extLst>
    </dxf>
    <dxf>
      <alignment vertical="center"/>
    </dxf>
    <dxf>
      <alignment vertical="center"/>
    </dxf>
    <dxf>
      <font>
        <b/>
        <color rgb="FFFFFFFF"/>
      </font>
      <fill>
        <patternFill patternType="solid">
          <fgColor indexed="64"/>
          <bgColor theme="5"/>
        </patternFill>
      </fill>
      <alignment horizontal="center" vertical="center" wrapText="1"/>
    </dxf>
  </dxfs>
  <tableStyles count="0" defaultTableStyle="TableStyleMedium2" defaultPivotStyle="PivotStyleLight16"/>
  <colors>
    <mruColors>
      <color rgb="FF1C355E"/>
      <color rgb="FFD2D7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501314</xdr:colOff>
      <xdr:row>10</xdr:row>
      <xdr:rowOff>126877</xdr:rowOff>
    </xdr:from>
    <xdr:to>
      <xdr:col>10</xdr:col>
      <xdr:colOff>363885</xdr:colOff>
      <xdr:row>19</xdr:row>
      <xdr:rowOff>123899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74E2AC-E00D-5977-9B76-580E08B48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314" y="1410245"/>
          <a:ext cx="4942571" cy="1140022"/>
        </a:xfrm>
        <a:prstGeom prst="rect">
          <a:avLst/>
        </a:prstGeom>
      </xdr:spPr>
    </xdr:pic>
    <xdr:clientData/>
  </xdr:twoCellAnchor>
  <xdr:twoCellAnchor>
    <xdr:from>
      <xdr:col>6</xdr:col>
      <xdr:colOff>264026</xdr:colOff>
      <xdr:row>11</xdr:row>
      <xdr:rowOff>80211</xdr:rowOff>
    </xdr:from>
    <xdr:to>
      <xdr:col>7</xdr:col>
      <xdr:colOff>190500</xdr:colOff>
      <xdr:row>12</xdr:row>
      <xdr:rowOff>36764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EFBCABC7-14F7-25C6-C5D5-269E0A5D8016}"/>
            </a:ext>
          </a:extLst>
        </xdr:cNvPr>
        <xdr:cNvSpPr/>
      </xdr:nvSpPr>
      <xdr:spPr>
        <a:xfrm>
          <a:off x="3312026" y="1490579"/>
          <a:ext cx="434474" cy="83553"/>
        </a:xfrm>
        <a:prstGeom prst="roundRect">
          <a:avLst/>
        </a:prstGeom>
        <a:noFill/>
        <a:ln w="12700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oneCellAnchor>
    <xdr:from>
      <xdr:col>10</xdr:col>
      <xdr:colOff>501314</xdr:colOff>
      <xdr:row>3</xdr:row>
      <xdr:rowOff>123659</xdr:rowOff>
    </xdr:from>
    <xdr:ext cx="2103014" cy="59323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FFB54A3-B5CD-15D2-7449-EB86883A162A}"/>
            </a:ext>
          </a:extLst>
        </xdr:cNvPr>
        <xdr:cNvSpPr txBox="1"/>
      </xdr:nvSpPr>
      <xdr:spPr>
        <a:xfrm>
          <a:off x="5581314" y="518027"/>
          <a:ext cx="2103014" cy="59323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fr-FR" sz="800"/>
            <a:t>Pas besoin de redéfinir</a:t>
          </a:r>
          <a:r>
            <a:rPr lang="fr-FR" sz="800" baseline="0"/>
            <a:t> la plage de données à chaque fois, les TCD sont paramétrés pour prendre en compte l'ensemble de l'onglet data.</a:t>
          </a:r>
          <a:endParaRPr lang="fr-FR" sz="8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28</xdr:row>
      <xdr:rowOff>0</xdr:rowOff>
    </xdr:from>
    <xdr:to>
      <xdr:col>1</xdr:col>
      <xdr:colOff>3020391</xdr:colOff>
      <xdr:row>37</xdr:row>
      <xdr:rowOff>3313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A3540CE-6CF7-4172-9398-A1DB6F0E53AF}"/>
            </a:ext>
          </a:extLst>
        </xdr:cNvPr>
        <xdr:cNvSpPr/>
      </xdr:nvSpPr>
      <xdr:spPr>
        <a:xfrm>
          <a:off x="508000" y="6130192"/>
          <a:ext cx="3020391" cy="1146313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rtlCol="0" anchor="t"/>
        <a:lstStyle/>
        <a:p>
          <a:pPr algn="l"/>
          <a:r>
            <a:rPr lang="fr-FR" sz="1100">
              <a:solidFill>
                <a:srgbClr val="000000"/>
              </a:solidFill>
            </a:rPr>
            <a:t>Ajouter</a:t>
          </a:r>
          <a:r>
            <a:rPr lang="fr-FR" sz="1100" baseline="0">
              <a:solidFill>
                <a:srgbClr val="000000"/>
              </a:solidFill>
            </a:rPr>
            <a:t> : </a:t>
          </a:r>
        </a:p>
        <a:p>
          <a:pPr algn="l"/>
          <a:endParaRPr lang="fr-FR" sz="1100" baseline="0">
            <a:solidFill>
              <a:srgbClr val="000000"/>
            </a:solidFill>
          </a:endParaRPr>
        </a:p>
        <a:p>
          <a:pPr algn="l"/>
          <a:r>
            <a:rPr lang="fr-FR" sz="1100" baseline="0">
              <a:solidFill>
                <a:srgbClr val="000000"/>
              </a:solidFill>
            </a:rPr>
            <a:t>- équipe Actions internationales et gestion diversifiée avec Valor + Thierry Combes + Ludivine</a:t>
          </a:r>
        </a:p>
        <a:p>
          <a:pPr algn="l"/>
          <a:endParaRPr lang="fr-FR" sz="1100" baseline="0">
            <a:solidFill>
              <a:srgbClr val="000000"/>
            </a:solidFill>
          </a:endParaRPr>
        </a:p>
        <a:p>
          <a:pPr algn="l"/>
          <a:r>
            <a:rPr lang="fr-FR" sz="1100" baseline="0">
              <a:solidFill>
                <a:srgbClr val="000000"/>
              </a:solidFill>
            </a:rPr>
            <a:t>- équipe Architecture ouverte avec multi + Solutions + Private Assets</a:t>
          </a: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ouboul-Rosette, Jade" refreshedDate="45518.502773726854" createdVersion="8" refreshedVersion="8" minRefreshableVersion="3" recordCount="132" xr:uid="{0367F6AE-CDB3-45BE-8C74-E72C8DBA96B2}">
  <cacheSource type="worksheet">
    <worksheetSource ref="A1:K1048576" sheet="Data"/>
  </cacheSource>
  <cacheFields count="8">
    <cacheField name="Nom" numFmtId="0">
      <sharedItems containsBlank="1" count="75">
        <s v="Alain Massiera"/>
        <s v="Didier Bouvignies"/>
        <s v="Pierre Baudard"/>
        <s v="Pierre Lecce"/>
        <s v="Céline Maréchal"/>
        <s v="Éric Lancien"/>
        <s v="Fanny Daeschner"/>
        <s v="Ma-Ly Tan"/>
        <s v="Valériya Mukhina Coillot"/>
        <s v="Emmanuel Petit"/>
        <s v="Julien Boy"/>
        <s v="Nicolas Racaud"/>
        <s v="Philippe Lomné"/>
        <s v="Kristell Agaësse"/>
        <s v="Michael Longeard"/>
        <s v="Yann Roux"/>
        <s v="Samuel Gruen"/>
        <s v="Antoine Da Silva"/>
        <s v="Henry Ndong"/>
        <s v="Jérôme Loire"/>
        <s v="Mirthula Pirapakaran"/>
        <s v="Solweig Pierronnet"/>
        <s v="Natally Loaiza Santamaria"/>
        <s v="Anthony Bailly"/>
        <s v="Vincent Imeneuraët"/>
        <s v="Grégoire du Mesnil du Buisson"/>
        <s v="Ugo Kiraz"/>
        <s v="Valérie Oelhoffen"/>
        <s v="Nathalie Bourdoncle"/>
        <s v="Thierry Combes"/>
        <s v="Thierry Rigaudière"/>
        <s v="Paul Reuge"/>
        <s v="Alban Seydoux"/>
        <s v="Gabriel Hors"/>
        <s v="Natacha Rousset"/>
        <s v="Jorge Velandia"/>
        <s v="Tatiana Velandia"/>
        <s v="Eva Olejniczak"/>
        <s v="Ludivine de Quincerot"/>
        <s v="Andrea Sekularac"/>
        <s v="Alice Lagny"/>
        <s v="Edward Luu"/>
        <s v="Thomas Vincent"/>
        <s v="Yoann Ignatiew"/>
        <s v="Charles-Edouard Bilbault"/>
        <s v="Klara Sok"/>
        <s v="Henri Captier"/>
        <s v="Louise Zhuoya Li"/>
        <s v="Sergio Gallo"/>
        <s v="Abel Amine"/>
        <s v="Elsa Fernandez"/>
        <s v="Marc Terras"/>
        <s v="Thomas Ayache"/>
        <s v="Stéphane Gaultier de Kermoal"/>
        <s v="Mathieu Six"/>
        <s v="Pierre Hauvette"/>
        <s v="Linh Mansion"/>
        <s v="Jade Weill"/>
        <s v="Morgane Wespieser"/>
        <s v="Ambre Laurenson"/>
        <s v="Laurent Cheng"/>
        <s v="Etienne Rouzeau"/>
        <s v="Vincent Gouzon"/>
        <s v="Jean-Guillaume Demares"/>
        <s v="Gilles Pophillat"/>
        <s v="Louis Perfumo"/>
        <s v="Marc-Antoine Collard"/>
        <s v="Nicolas Antérieux"/>
        <s v="Julien Baumont"/>
        <s v="Thierry Merceron"/>
        <s v="Gabriel Ernault"/>
        <s v="Salma Alami-Drideb"/>
        <s v="Alexandre Case"/>
        <s v="Alexandre Teran"/>
        <m/>
      </sharedItems>
    </cacheField>
    <cacheField name="Equipe" numFmtId="0">
      <sharedItems containsBlank="1" count="16">
        <s v="Comité exécutif"/>
        <s v="Responsable opérationnel"/>
        <s v="Risques"/>
        <s v="Obligataire"/>
        <s v="Actions Européennes"/>
        <s v="Actions Thématiques"/>
        <s v="Actions USA"/>
        <s v="Investissement Durable"/>
        <s v="Valor (gamme)"/>
        <s v="Multigestion (Architecture ouverte)"/>
        <s v="Solutions d'investissement"/>
        <s v="Produits Structurés"/>
        <s v="Recherche macroéconomique"/>
        <s v="Négociation"/>
        <m/>
        <s v="Actions" u="1"/>
      </sharedItems>
    </cacheField>
    <cacheField name="Fonction" numFmtId="0">
      <sharedItems containsBlank="1" count="10">
        <s v="Comité exécutif"/>
        <s v="Responsable opérationnel"/>
        <s v="Gérant"/>
        <s v="Assistant gérant "/>
        <s v="Analyste"/>
        <s v="Product Specialist"/>
        <s v="Négociateur"/>
        <s v="Responsable Risques de Marchés"/>
        <s v="Analyste Risques"/>
        <m/>
      </sharedItems>
    </cacheField>
    <cacheField name="Titre " numFmtId="0">
      <sharedItems containsBlank="1"/>
    </cacheField>
    <cacheField name="Date d'entrée dans l'industrie" numFmtId="0">
      <sharedItems containsString="0" containsBlank="1" containsNumber="1" containsInteger="1" minValue="1979" maxValue="2024"/>
    </cacheField>
    <cacheField name="Nombre d'années d'expérience" numFmtId="0">
      <sharedItems containsString="0" containsBlank="1" containsNumber="1" containsInteger="1" minValue="0" maxValue="45"/>
    </cacheField>
    <cacheField name="Date d'entrée dans la société" numFmtId="0">
      <sharedItems containsString="0" containsBlank="1" containsNumber="1" containsInteger="1" minValue="1987" maxValue="2024"/>
    </cacheField>
    <cacheField name="Nombre d'années dans la société" numFmtId="0">
      <sharedItems containsString="0" containsBlank="1" containsNumber="1" containsInteger="1" minValue="0" maxValue="3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">
  <r>
    <x v="0"/>
    <x v="0"/>
    <x v="0"/>
    <s v="Associé-Gérant, Responsable de la Banque privée et de la Gestion d'actifs en France"/>
    <n v="1979"/>
    <n v="45"/>
    <n v="2011"/>
    <n v="13"/>
  </r>
  <r>
    <x v="1"/>
    <x v="0"/>
    <x v="0"/>
    <s v="Associé-Gérant, Directeur des gestions"/>
    <n v="1986"/>
    <n v="38"/>
    <n v="2004"/>
    <n v="20"/>
  </r>
  <r>
    <x v="2"/>
    <x v="0"/>
    <x v="0"/>
    <s v="Associé-Gérant, Directeur Général"/>
    <n v="1999"/>
    <n v="25"/>
    <n v="2015"/>
    <n v="9"/>
  </r>
  <r>
    <x v="3"/>
    <x v="0"/>
    <x v="0"/>
    <s v="Gérant de la commandite"/>
    <n v="1990"/>
    <n v="34"/>
    <n v="1992"/>
    <n v="32"/>
  </r>
  <r>
    <x v="4"/>
    <x v="1"/>
    <x v="1"/>
    <s v="Directrice Juridique et RCCI R&amp;Co AM"/>
    <n v="1998"/>
    <n v="26"/>
    <n v="2013"/>
    <n v="11"/>
  </r>
  <r>
    <x v="5"/>
    <x v="1"/>
    <x v="1"/>
    <s v="Directeur des risques, Rothschild Martin Maurel"/>
    <n v="1996"/>
    <n v="28"/>
    <n v="2013"/>
    <n v="11"/>
  </r>
  <r>
    <x v="6"/>
    <x v="2"/>
    <x v="1"/>
    <s v="Directrice des risques, R&amp;Co AM"/>
    <n v="2002"/>
    <n v="22"/>
    <n v="2014"/>
    <n v="10"/>
  </r>
  <r>
    <x v="7"/>
    <x v="1"/>
    <x v="1"/>
    <s v="Responsable Adjoint Conformité, R&amp;Co AM"/>
    <n v="2004"/>
    <n v="20"/>
    <n v="2018"/>
    <n v="6"/>
  </r>
  <r>
    <x v="8"/>
    <x v="1"/>
    <x v="1"/>
    <s v="Responsable du Pôle Qualité - Middle Office"/>
    <n v="2008"/>
    <n v="16"/>
    <n v="2016"/>
    <n v="8"/>
  </r>
  <r>
    <x v="9"/>
    <x v="3"/>
    <x v="2"/>
    <s v="Associé-Gérant, Responsable de la gestion obligataire. Spécialisation : Credit IG et crossover"/>
    <n v="1998"/>
    <n v="26"/>
    <n v="2006"/>
    <n v="18"/>
  </r>
  <r>
    <x v="10"/>
    <x v="3"/>
    <x v="2"/>
    <s v="Gérant obligataire - Spécialisation : Emprunts d'Etats et Inflation"/>
    <n v="2006"/>
    <n v="18"/>
    <n v="2006"/>
    <n v="18"/>
  </r>
  <r>
    <x v="11"/>
    <x v="3"/>
    <x v="2"/>
    <s v="Gérant obligataire et référent ESG - Spécialisation : Crédit IG, Crossover, et fonds ESG"/>
    <n v="1999"/>
    <n v="25"/>
    <n v="1999"/>
    <n v="25"/>
  </r>
  <r>
    <x v="12"/>
    <x v="3"/>
    <x v="2"/>
    <s v="Gérant obligataire - Spécialisation : Crédit IG et Crossover"/>
    <n v="2010"/>
    <n v="14"/>
    <n v="2010"/>
    <n v="14"/>
  </r>
  <r>
    <x v="13"/>
    <x v="3"/>
    <x v="2"/>
    <s v="Responsable de la Gestion_x000a_High Yield &amp; Obligations Convertibles"/>
    <n v="2000"/>
    <n v="24"/>
    <n v="2006"/>
    <n v="18"/>
  </r>
  <r>
    <x v="14"/>
    <x v="3"/>
    <x v="2"/>
    <s v="Gérant High Yield / Convertibles"/>
    <n v="2007"/>
    <n v="17"/>
    <n v="2023"/>
    <n v="1"/>
  </r>
  <r>
    <x v="15"/>
    <x v="3"/>
    <x v="2"/>
    <s v="Gérant obligataire - Spécialisation : Monétaire et Court terme"/>
    <n v="2008"/>
    <n v="16"/>
    <n v="2010"/>
    <n v="14"/>
  </r>
  <r>
    <x v="16"/>
    <x v="3"/>
    <x v="2"/>
    <s v="Gérant obligataire - Spécialisation : Crédit IG, Crossover"/>
    <n v="2011"/>
    <n v="13"/>
    <n v="2023"/>
    <n v="1"/>
  </r>
  <r>
    <x v="17"/>
    <x v="3"/>
    <x v="3"/>
    <s v="Equipe Gestion Obligataire"/>
    <n v="2024"/>
    <n v="0"/>
    <n v="2024"/>
    <n v="0"/>
  </r>
  <r>
    <x v="18"/>
    <x v="3"/>
    <x v="4"/>
    <s v="Responsable de l'analyse crédit"/>
    <n v="2010"/>
    <n v="14"/>
    <n v="2016"/>
    <n v="8"/>
  </r>
  <r>
    <x v="19"/>
    <x v="3"/>
    <x v="4"/>
    <s v="Analyste crédit"/>
    <n v="1993"/>
    <n v="31"/>
    <n v="2012"/>
    <n v="12"/>
  </r>
  <r>
    <x v="20"/>
    <x v="3"/>
    <x v="4"/>
    <s v="Analyste crédit"/>
    <n v="2018"/>
    <n v="6"/>
    <n v="2021"/>
    <n v="3"/>
  </r>
  <r>
    <x v="21"/>
    <x v="3"/>
    <x v="4"/>
    <s v="Analyste crédit"/>
    <n v="2012"/>
    <n v="12"/>
    <n v="2023"/>
    <n v="1"/>
  </r>
  <r>
    <x v="22"/>
    <x v="3"/>
    <x v="4"/>
    <s v="Analyste crédit ESG"/>
    <n v="2018"/>
    <n v="6"/>
    <n v="2023"/>
    <n v="1"/>
  </r>
  <r>
    <x v="23"/>
    <x v="4"/>
    <x v="2"/>
    <s v="Gérant - Responsable de la gestion Actions européennes"/>
    <n v="2001"/>
    <n v="23"/>
    <n v="2007"/>
    <n v="17"/>
  </r>
  <r>
    <x v="24"/>
    <x v="4"/>
    <x v="2"/>
    <s v="Gérant - Actions européennes et Responsable de l'analyse actions européennes"/>
    <n v="2000"/>
    <n v="24"/>
    <n v="2013"/>
    <n v="11"/>
  </r>
  <r>
    <x v="25"/>
    <x v="4"/>
    <x v="2"/>
    <s v="Gérant - Actions européennes"/>
    <n v="2020"/>
    <n v="4"/>
    <n v="2024"/>
    <n v="0"/>
  </r>
  <r>
    <x v="26"/>
    <x v="4"/>
    <x v="3"/>
    <s v="Assistant gestion de portefeuille"/>
    <n v="2022"/>
    <n v="2"/>
    <n v="2023"/>
    <n v="1"/>
  </r>
  <r>
    <x v="27"/>
    <x v="5"/>
    <x v="2"/>
    <s v="Gérante - Actions thématiques"/>
    <n v="1991"/>
    <n v="33"/>
    <n v="2010"/>
    <n v="14"/>
  </r>
  <r>
    <x v="28"/>
    <x v="5"/>
    <x v="2"/>
    <s v="Gérante - Actions thématiques"/>
    <n v="1992"/>
    <n v="32"/>
    <n v="2007"/>
    <n v="17"/>
  </r>
  <r>
    <x v="29"/>
    <x v="6"/>
    <x v="2"/>
    <s v="Gérant - Actions américaines"/>
    <n v="2001"/>
    <n v="23"/>
    <n v="2006"/>
    <n v="18"/>
  </r>
  <r>
    <x v="30"/>
    <x v="5"/>
    <x v="2"/>
    <s v="Responsable de la gestion thématique"/>
    <n v="1989"/>
    <n v="35"/>
    <n v="2012"/>
    <n v="12"/>
  </r>
  <r>
    <x v="31"/>
    <x v="5"/>
    <x v="2"/>
    <s v="Gérant - Actions européennes"/>
    <n v="2007"/>
    <n v="17"/>
    <n v="2014"/>
    <n v="10"/>
  </r>
  <r>
    <x v="32"/>
    <x v="5"/>
    <x v="2"/>
    <s v="Gérant analyste_x000a_Petites et moyennes capitalisations_x000a_Product Specialist"/>
    <n v="2000"/>
    <n v="24"/>
    <n v="2012"/>
    <n v="12"/>
  </r>
  <r>
    <x v="33"/>
    <x v="4"/>
    <x v="4"/>
    <s v=" Analyste Actions Européennes"/>
    <n v="1993"/>
    <n v="31"/>
    <n v="2010"/>
    <n v="14"/>
  </r>
  <r>
    <x v="34"/>
    <x v="4"/>
    <x v="4"/>
    <s v=" Analyste Actions Européennes"/>
    <n v="1998"/>
    <n v="26"/>
    <n v="2004"/>
    <n v="20"/>
  </r>
  <r>
    <x v="35"/>
    <x v="4"/>
    <x v="4"/>
    <s v=" Analyste Actions Européennes"/>
    <n v="2019"/>
    <n v="5"/>
    <n v="2022"/>
    <n v="2"/>
  </r>
  <r>
    <x v="36"/>
    <x v="4"/>
    <x v="4"/>
    <s v=" Analyste Actions Européennes"/>
    <n v="2019"/>
    <n v="5"/>
    <n v="2024"/>
    <n v="0"/>
  </r>
  <r>
    <x v="37"/>
    <x v="4"/>
    <x v="4"/>
    <s v=" Analyste Actions Européennes"/>
    <n v="2024"/>
    <n v="0"/>
    <n v="2024"/>
    <n v="0"/>
  </r>
  <r>
    <x v="38"/>
    <x v="7"/>
    <x v="2"/>
    <s v="Managing Director, Responsable de l'investissement durable_x000a_Gérante de fonds diversifiés"/>
    <n v="1998"/>
    <n v="26"/>
    <n v="2004"/>
    <n v="20"/>
  </r>
  <r>
    <x v="39"/>
    <x v="7"/>
    <x v="4"/>
    <s v="Spécialiste ESG"/>
    <n v="2016"/>
    <n v="8"/>
    <n v="2016"/>
    <n v="8"/>
  </r>
  <r>
    <x v="40"/>
    <x v="7"/>
    <x v="4"/>
    <s v="Spécialiste ESG"/>
    <n v="2016"/>
    <n v="8"/>
    <n v="2019"/>
    <n v="5"/>
  </r>
  <r>
    <x v="41"/>
    <x v="7"/>
    <x v="4"/>
    <s v="Analyste ESG et responsable de l'engagement"/>
    <n v="2014"/>
    <n v="10"/>
    <n v="2021"/>
    <n v="3"/>
  </r>
  <r>
    <x v="42"/>
    <x v="7"/>
    <x v="4"/>
    <s v="Data Scientist ESG &amp; Ingénieur financier"/>
    <n v="2005"/>
    <n v="19"/>
    <n v="2005"/>
    <n v="19"/>
  </r>
  <r>
    <x v="43"/>
    <x v="8"/>
    <x v="2"/>
    <s v="Associé-Gérant, Responsable Gestion Internationale et gestion diversifiée"/>
    <n v="1990"/>
    <n v="34"/>
    <n v="2008"/>
    <n v="16"/>
  </r>
  <r>
    <x v="44"/>
    <x v="8"/>
    <x v="2"/>
    <s v="Gérant de portefeuilles diversifiés "/>
    <n v="2012"/>
    <n v="12"/>
    <n v="2013"/>
    <n v="11"/>
  </r>
  <r>
    <x v="45"/>
    <x v="8"/>
    <x v="2"/>
    <s v="Co-gérante du portefeuille R-co Thematic Blockchain Global Equity"/>
    <n v="2007"/>
    <n v="17"/>
    <n v="2022"/>
    <n v="2"/>
  </r>
  <r>
    <x v="46"/>
    <x v="8"/>
    <x v="4"/>
    <s v="Gérant-Analyste actions internationales"/>
    <n v="2018"/>
    <n v="6"/>
    <n v="2018"/>
    <n v="6"/>
  </r>
  <r>
    <x v="47"/>
    <x v="8"/>
    <x v="4"/>
    <s v="Analyste dédié – actions internationales"/>
    <n v="2020"/>
    <n v="4"/>
    <n v="2020"/>
    <n v="4"/>
  </r>
  <r>
    <x v="48"/>
    <x v="8"/>
    <x v="4"/>
    <s v="Analyste dédié – actions internationales"/>
    <n v="2021"/>
    <n v="3"/>
    <n v="2023"/>
    <n v="1"/>
  </r>
  <r>
    <x v="49"/>
    <x v="8"/>
    <x v="4"/>
    <s v="Analyste dédié – actions internationales"/>
    <n v="2022"/>
    <n v="2"/>
    <n v="2023"/>
    <n v="1"/>
  </r>
  <r>
    <x v="50"/>
    <x v="8"/>
    <x v="5"/>
    <s v="Product Specialist - Valor"/>
    <n v="2010"/>
    <n v="14"/>
    <n v="2020"/>
    <n v="4"/>
  </r>
  <r>
    <x v="51"/>
    <x v="9"/>
    <x v="2"/>
    <s v="Directeur de la gestion en architecture ouverte"/>
    <n v="1996"/>
    <n v="28"/>
    <n v="2000"/>
    <n v="24"/>
  </r>
  <r>
    <x v="52"/>
    <x v="9"/>
    <x v="2"/>
    <s v="Gérant en Architecture Ouverte"/>
    <n v="1999"/>
    <n v="25"/>
    <n v="2005"/>
    <n v="19"/>
  </r>
  <r>
    <x v="53"/>
    <x v="9"/>
    <x v="2"/>
    <s v="Gérant en Architecture Ouverte"/>
    <n v="1984"/>
    <n v="40"/>
    <n v="2006"/>
    <n v="18"/>
  </r>
  <r>
    <x v="54"/>
    <x v="9"/>
    <x v="2"/>
    <s v="Gérant en Architecture Ouverte"/>
    <n v="2006"/>
    <n v="18"/>
    <n v="2011"/>
    <n v="13"/>
  </r>
  <r>
    <x v="55"/>
    <x v="9"/>
    <x v="4"/>
    <s v="Analyste multigestion"/>
    <n v="2006"/>
    <n v="18"/>
    <n v="2011"/>
    <n v="13"/>
  </r>
  <r>
    <x v="56"/>
    <x v="9"/>
    <x v="4"/>
    <s v="Responsable de la Recherche - Architecture ouverte"/>
    <n v="2000"/>
    <n v="24"/>
    <n v="2007"/>
    <n v="17"/>
  </r>
  <r>
    <x v="57"/>
    <x v="9"/>
    <x v="4"/>
    <s v="Analyste multigestion"/>
    <n v="2011"/>
    <n v="13"/>
    <n v="2011"/>
    <n v="13"/>
  </r>
  <r>
    <x v="58"/>
    <x v="9"/>
    <x v="4"/>
    <s v="Analyste multigestion"/>
    <n v="2019"/>
    <n v="5"/>
    <n v="2019"/>
    <n v="5"/>
  </r>
  <r>
    <x v="59"/>
    <x v="9"/>
    <x v="4"/>
    <s v="Analyste multigestion"/>
    <n v="2021"/>
    <n v="3"/>
    <n v="2021"/>
    <n v="3"/>
  </r>
  <r>
    <x v="60"/>
    <x v="9"/>
    <x v="4"/>
    <s v="Assistant de gestion multigestion"/>
    <n v="2001"/>
    <n v="23"/>
    <n v="2009"/>
    <n v="15"/>
  </r>
  <r>
    <x v="61"/>
    <x v="10"/>
    <x v="2"/>
    <s v="Responsable des Solutions d'Investissement"/>
    <n v="1995"/>
    <n v="29"/>
    <n v="2014"/>
    <n v="10"/>
  </r>
  <r>
    <x v="62"/>
    <x v="10"/>
    <x v="4"/>
    <s v="Responsable Solutions d'Investissement"/>
    <n v="2005"/>
    <n v="19"/>
    <n v="2006"/>
    <n v="18"/>
  </r>
  <r>
    <x v="63"/>
    <x v="11"/>
    <x v="4"/>
    <s v="Responsable des Produits Structurés"/>
    <n v="1998"/>
    <n v="26"/>
    <n v="2016"/>
    <n v="8"/>
  </r>
  <r>
    <x v="64"/>
    <x v="11"/>
    <x v="4"/>
    <s v="Responsable des Produits Structurés"/>
    <n v="1998"/>
    <n v="26"/>
    <n v="2006"/>
    <n v="18"/>
  </r>
  <r>
    <x v="65"/>
    <x v="11"/>
    <x v="4"/>
    <s v="Ingénieur en Produits Structurés"/>
    <n v="2015"/>
    <n v="9"/>
    <n v="2015"/>
    <n v="9"/>
  </r>
  <r>
    <x v="66"/>
    <x v="12"/>
    <x v="4"/>
    <s v="Chef économiste – Directeur de la recherche macroéconomique"/>
    <n v="2004"/>
    <n v="20"/>
    <n v="2014"/>
    <n v="10"/>
  </r>
  <r>
    <x v="67"/>
    <x v="13"/>
    <x v="6"/>
    <s v="Responsable de l'équipe négociation"/>
    <n v="1981"/>
    <n v="43"/>
    <n v="1987"/>
    <n v="37"/>
  </r>
  <r>
    <x v="68"/>
    <x v="13"/>
    <x v="6"/>
    <s v="Négociateur"/>
    <n v="2010"/>
    <n v="14"/>
    <n v="2014"/>
    <n v="10"/>
  </r>
  <r>
    <x v="69"/>
    <x v="13"/>
    <x v="6"/>
    <s v="Négociateur"/>
    <n v="1983"/>
    <n v="41"/>
    <n v="2000"/>
    <n v="24"/>
  </r>
  <r>
    <x v="70"/>
    <x v="2"/>
    <x v="7"/>
    <s v="Responsable Risques de Marchés"/>
    <n v="2017"/>
    <n v="7"/>
    <n v="2017"/>
    <n v="7"/>
  </r>
  <r>
    <x v="71"/>
    <x v="2"/>
    <x v="8"/>
    <s v="Analyste Risques"/>
    <n v="2011"/>
    <n v="13"/>
    <n v="2011"/>
    <n v="13"/>
  </r>
  <r>
    <x v="72"/>
    <x v="2"/>
    <x v="8"/>
    <s v="Analyste Risques"/>
    <n v="2023"/>
    <n v="1"/>
    <n v="2023"/>
    <n v="1"/>
  </r>
  <r>
    <x v="73"/>
    <x v="2"/>
    <x v="8"/>
    <s v="Analyste Risques"/>
    <n v="2020"/>
    <n v="4"/>
    <n v="2022"/>
    <n v="2"/>
  </r>
  <r>
    <x v="74"/>
    <x v="14"/>
    <x v="9"/>
    <m/>
    <m/>
    <m/>
    <m/>
    <m/>
  </r>
  <r>
    <x v="74"/>
    <x v="14"/>
    <x v="9"/>
    <m/>
    <m/>
    <m/>
    <m/>
    <m/>
  </r>
  <r>
    <x v="74"/>
    <x v="14"/>
    <x v="9"/>
    <m/>
    <m/>
    <m/>
    <m/>
    <m/>
  </r>
  <r>
    <x v="74"/>
    <x v="14"/>
    <x v="9"/>
    <m/>
    <m/>
    <m/>
    <m/>
    <m/>
  </r>
  <r>
    <x v="74"/>
    <x v="14"/>
    <x v="9"/>
    <m/>
    <m/>
    <m/>
    <m/>
    <m/>
  </r>
  <r>
    <x v="74"/>
    <x v="14"/>
    <x v="9"/>
    <m/>
    <m/>
    <m/>
    <m/>
    <m/>
  </r>
  <r>
    <x v="74"/>
    <x v="14"/>
    <x v="9"/>
    <m/>
    <m/>
    <m/>
    <m/>
    <m/>
  </r>
  <r>
    <x v="74"/>
    <x v="14"/>
    <x v="9"/>
    <m/>
    <m/>
    <m/>
    <m/>
    <m/>
  </r>
  <r>
    <x v="74"/>
    <x v="14"/>
    <x v="9"/>
    <m/>
    <m/>
    <m/>
    <m/>
    <m/>
  </r>
  <r>
    <x v="74"/>
    <x v="14"/>
    <x v="9"/>
    <m/>
    <m/>
    <m/>
    <m/>
    <m/>
  </r>
  <r>
    <x v="74"/>
    <x v="14"/>
    <x v="9"/>
    <m/>
    <m/>
    <m/>
    <m/>
    <m/>
  </r>
  <r>
    <x v="74"/>
    <x v="14"/>
    <x v="9"/>
    <m/>
    <m/>
    <m/>
    <m/>
    <m/>
  </r>
  <r>
    <x v="74"/>
    <x v="14"/>
    <x v="9"/>
    <m/>
    <m/>
    <m/>
    <m/>
    <m/>
  </r>
  <r>
    <x v="74"/>
    <x v="14"/>
    <x v="9"/>
    <m/>
    <m/>
    <m/>
    <m/>
    <m/>
  </r>
  <r>
    <x v="74"/>
    <x v="14"/>
    <x v="9"/>
    <m/>
    <m/>
    <m/>
    <m/>
    <m/>
  </r>
  <r>
    <x v="74"/>
    <x v="14"/>
    <x v="9"/>
    <m/>
    <m/>
    <m/>
    <m/>
    <m/>
  </r>
  <r>
    <x v="74"/>
    <x v="14"/>
    <x v="9"/>
    <m/>
    <m/>
    <m/>
    <m/>
    <m/>
  </r>
  <r>
    <x v="74"/>
    <x v="14"/>
    <x v="9"/>
    <m/>
    <m/>
    <m/>
    <m/>
    <m/>
  </r>
  <r>
    <x v="74"/>
    <x v="14"/>
    <x v="9"/>
    <m/>
    <m/>
    <m/>
    <m/>
    <m/>
  </r>
  <r>
    <x v="74"/>
    <x v="14"/>
    <x v="9"/>
    <m/>
    <m/>
    <m/>
    <m/>
    <m/>
  </r>
  <r>
    <x v="74"/>
    <x v="14"/>
    <x v="9"/>
    <m/>
    <m/>
    <m/>
    <m/>
    <m/>
  </r>
  <r>
    <x v="74"/>
    <x v="14"/>
    <x v="9"/>
    <m/>
    <m/>
    <m/>
    <m/>
    <m/>
  </r>
  <r>
    <x v="74"/>
    <x v="14"/>
    <x v="9"/>
    <m/>
    <m/>
    <m/>
    <m/>
    <m/>
  </r>
  <r>
    <x v="74"/>
    <x v="14"/>
    <x v="9"/>
    <m/>
    <m/>
    <m/>
    <m/>
    <m/>
  </r>
  <r>
    <x v="74"/>
    <x v="14"/>
    <x v="9"/>
    <m/>
    <m/>
    <m/>
    <m/>
    <m/>
  </r>
  <r>
    <x v="74"/>
    <x v="14"/>
    <x v="9"/>
    <m/>
    <m/>
    <m/>
    <m/>
    <m/>
  </r>
  <r>
    <x v="74"/>
    <x v="14"/>
    <x v="9"/>
    <m/>
    <m/>
    <m/>
    <m/>
    <m/>
  </r>
  <r>
    <x v="74"/>
    <x v="14"/>
    <x v="9"/>
    <m/>
    <m/>
    <m/>
    <m/>
    <m/>
  </r>
  <r>
    <x v="74"/>
    <x v="14"/>
    <x v="9"/>
    <m/>
    <m/>
    <m/>
    <m/>
    <m/>
  </r>
  <r>
    <x v="74"/>
    <x v="14"/>
    <x v="9"/>
    <m/>
    <m/>
    <m/>
    <m/>
    <m/>
  </r>
  <r>
    <x v="74"/>
    <x v="14"/>
    <x v="9"/>
    <m/>
    <m/>
    <m/>
    <m/>
    <m/>
  </r>
  <r>
    <x v="74"/>
    <x v="14"/>
    <x v="9"/>
    <m/>
    <m/>
    <m/>
    <m/>
    <m/>
  </r>
  <r>
    <x v="74"/>
    <x v="14"/>
    <x v="9"/>
    <m/>
    <m/>
    <m/>
    <m/>
    <m/>
  </r>
  <r>
    <x v="74"/>
    <x v="14"/>
    <x v="9"/>
    <m/>
    <m/>
    <m/>
    <m/>
    <m/>
  </r>
  <r>
    <x v="74"/>
    <x v="14"/>
    <x v="9"/>
    <m/>
    <m/>
    <m/>
    <m/>
    <m/>
  </r>
  <r>
    <x v="74"/>
    <x v="14"/>
    <x v="9"/>
    <m/>
    <m/>
    <m/>
    <m/>
    <m/>
  </r>
  <r>
    <x v="74"/>
    <x v="14"/>
    <x v="9"/>
    <m/>
    <m/>
    <m/>
    <m/>
    <m/>
  </r>
  <r>
    <x v="74"/>
    <x v="14"/>
    <x v="9"/>
    <m/>
    <m/>
    <m/>
    <m/>
    <m/>
  </r>
  <r>
    <x v="74"/>
    <x v="14"/>
    <x v="9"/>
    <m/>
    <m/>
    <m/>
    <m/>
    <m/>
  </r>
  <r>
    <x v="74"/>
    <x v="14"/>
    <x v="9"/>
    <m/>
    <m/>
    <m/>
    <m/>
    <m/>
  </r>
  <r>
    <x v="74"/>
    <x v="14"/>
    <x v="9"/>
    <m/>
    <m/>
    <m/>
    <m/>
    <m/>
  </r>
  <r>
    <x v="74"/>
    <x v="14"/>
    <x v="9"/>
    <m/>
    <m/>
    <m/>
    <m/>
    <m/>
  </r>
  <r>
    <x v="74"/>
    <x v="14"/>
    <x v="9"/>
    <m/>
    <m/>
    <m/>
    <m/>
    <m/>
  </r>
  <r>
    <x v="74"/>
    <x v="14"/>
    <x v="9"/>
    <m/>
    <m/>
    <m/>
    <m/>
    <m/>
  </r>
  <r>
    <x v="74"/>
    <x v="14"/>
    <x v="9"/>
    <m/>
    <m/>
    <m/>
    <m/>
    <m/>
  </r>
  <r>
    <x v="74"/>
    <x v="14"/>
    <x v="9"/>
    <m/>
    <m/>
    <m/>
    <m/>
    <m/>
  </r>
  <r>
    <x v="74"/>
    <x v="14"/>
    <x v="9"/>
    <m/>
    <m/>
    <m/>
    <m/>
    <m/>
  </r>
  <r>
    <x v="74"/>
    <x v="14"/>
    <x v="9"/>
    <m/>
    <m/>
    <m/>
    <m/>
    <m/>
  </r>
  <r>
    <x v="74"/>
    <x v="14"/>
    <x v="9"/>
    <m/>
    <m/>
    <m/>
    <m/>
    <m/>
  </r>
  <r>
    <x v="74"/>
    <x v="14"/>
    <x v="9"/>
    <m/>
    <m/>
    <m/>
    <m/>
    <m/>
  </r>
  <r>
    <x v="74"/>
    <x v="14"/>
    <x v="9"/>
    <m/>
    <m/>
    <m/>
    <m/>
    <m/>
  </r>
  <r>
    <x v="74"/>
    <x v="14"/>
    <x v="9"/>
    <m/>
    <m/>
    <m/>
    <m/>
    <m/>
  </r>
  <r>
    <x v="74"/>
    <x v="14"/>
    <x v="9"/>
    <m/>
    <m/>
    <m/>
    <m/>
    <m/>
  </r>
  <r>
    <x v="74"/>
    <x v="14"/>
    <x v="9"/>
    <m/>
    <m/>
    <m/>
    <m/>
    <m/>
  </r>
  <r>
    <x v="74"/>
    <x v="14"/>
    <x v="9"/>
    <m/>
    <m/>
    <m/>
    <m/>
    <m/>
  </r>
  <r>
    <x v="74"/>
    <x v="14"/>
    <x v="9"/>
    <m/>
    <m/>
    <m/>
    <m/>
    <m/>
  </r>
  <r>
    <x v="74"/>
    <x v="14"/>
    <x v="9"/>
    <m/>
    <m/>
    <m/>
    <m/>
    <m/>
  </r>
  <r>
    <x v="74"/>
    <x v="14"/>
    <x v="9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4DC023-E53E-45F3-AAD7-4CE8DC25837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8:C104" firstHeaderRow="0" firstDataRow="1" firstDataCol="1" rowPageCount="2" colPageCount="1"/>
  <pivotFields count="8">
    <pivotField axis="axisRow" showAll="0">
      <items count="76">
        <item x="49"/>
        <item x="0"/>
        <item x="32"/>
        <item x="40"/>
        <item x="59"/>
        <item x="39"/>
        <item x="23"/>
        <item x="17"/>
        <item x="4"/>
        <item x="44"/>
        <item x="1"/>
        <item x="41"/>
        <item x="50"/>
        <item x="9"/>
        <item x="5"/>
        <item x="61"/>
        <item x="37"/>
        <item x="6"/>
        <item x="33"/>
        <item x="64"/>
        <item x="25"/>
        <item x="46"/>
        <item x="18"/>
        <item x="57"/>
        <item x="63"/>
        <item x="19"/>
        <item x="35"/>
        <item x="68"/>
        <item x="10"/>
        <item x="45"/>
        <item x="13"/>
        <item x="60"/>
        <item x="56"/>
        <item x="65"/>
        <item x="47"/>
        <item x="38"/>
        <item x="7"/>
        <item x="51"/>
        <item x="66"/>
        <item x="54"/>
        <item x="14"/>
        <item x="20"/>
        <item x="58"/>
        <item x="34"/>
        <item x="22"/>
        <item x="28"/>
        <item x="67"/>
        <item x="11"/>
        <item x="31"/>
        <item x="12"/>
        <item x="2"/>
        <item x="55"/>
        <item x="3"/>
        <item x="16"/>
        <item x="48"/>
        <item x="21"/>
        <item x="53"/>
        <item x="36"/>
        <item x="29"/>
        <item x="69"/>
        <item x="30"/>
        <item x="52"/>
        <item x="42"/>
        <item x="26"/>
        <item x="27"/>
        <item x="8"/>
        <item x="62"/>
        <item x="24"/>
        <item x="15"/>
        <item x="43"/>
        <item x="74"/>
        <item x="70"/>
        <item x="71"/>
        <item x="72"/>
        <item x="73"/>
        <item t="default"/>
      </items>
    </pivotField>
    <pivotField axis="axisPage" multipleItemSelectionAllowed="1" showAll="0">
      <items count="17">
        <item m="1" x="15"/>
        <item x="4"/>
        <item x="5"/>
        <item x="6"/>
        <item x="0"/>
        <item x="7"/>
        <item x="9"/>
        <item x="13"/>
        <item x="3"/>
        <item x="11"/>
        <item x="12"/>
        <item x="1"/>
        <item x="10"/>
        <item x="8"/>
        <item x="14"/>
        <item x="2"/>
        <item t="default"/>
      </items>
    </pivotField>
    <pivotField axis="axisPage" showAll="0">
      <items count="11">
        <item x="4"/>
        <item x="3"/>
        <item x="0"/>
        <item x="2"/>
        <item x="6"/>
        <item x="1"/>
        <item x="9"/>
        <item x="7"/>
        <item x="8"/>
        <item x="5"/>
        <item t="default"/>
      </items>
    </pivotField>
    <pivotField showAll="0"/>
    <pivotField showAll="0"/>
    <pivotField dataField="1" showAll="0"/>
    <pivotField showAll="0"/>
    <pivotField dataField="1" showAll="0"/>
  </pivotFields>
  <rowFields count="1">
    <field x="0"/>
  </rowFields>
  <rowItems count="7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 t="grand">
      <x/>
    </i>
  </rowItems>
  <colFields count="1">
    <field x="-2"/>
  </colFields>
  <colItems count="2">
    <i>
      <x/>
    </i>
    <i i="1">
      <x v="1"/>
    </i>
  </colItems>
  <pageFields count="2">
    <pageField fld="1" hier="-1"/>
    <pageField fld="2" hier="-1"/>
  </pageFields>
  <dataFields count="2">
    <dataField name="Average of Nombre d'années d'expérience" fld="5" subtotal="average" baseField="0" baseItem="0"/>
    <dataField name="Average of Nombre d'années dans la société" fld="7" subtotal="average" baseField="0" baseItem="5"/>
  </dataFields>
  <formats count="124">
    <format dxfId="126">
      <pivotArea collapsedLevelsAreSubtotals="1" fieldPosition="0">
        <references count="1">
          <reference field="0" count="1">
            <x v="0"/>
          </reference>
        </references>
      </pivotArea>
    </format>
    <format dxfId="125">
      <pivotArea collapsedLevelsAreSubtotals="1" fieldPosition="0">
        <references count="1">
          <reference field="0" count="1">
            <x v="1"/>
          </reference>
        </references>
      </pivotArea>
    </format>
    <format dxfId="124">
      <pivotArea collapsedLevelsAreSubtotals="1" fieldPosition="0">
        <references count="1">
          <reference field="0" count="1">
            <x v="2"/>
          </reference>
        </references>
      </pivotArea>
    </format>
    <format dxfId="123">
      <pivotArea collapsedLevelsAreSubtotals="1" fieldPosition="0">
        <references count="1">
          <reference field="0" count="1">
            <x v="4"/>
          </reference>
        </references>
      </pivotArea>
    </format>
    <format dxfId="122">
      <pivotArea collapsedLevelsAreSubtotals="1" fieldPosition="0">
        <references count="1">
          <reference field="0" count="1">
            <x v="6"/>
          </reference>
        </references>
      </pivotArea>
    </format>
    <format dxfId="121">
      <pivotArea collapsedLevelsAreSubtotals="1" fieldPosition="0">
        <references count="1">
          <reference field="0" count="1">
            <x v="7"/>
          </reference>
        </references>
      </pivotArea>
    </format>
    <format dxfId="120">
      <pivotArea collapsedLevelsAreSubtotals="1" fieldPosition="0">
        <references count="1">
          <reference field="0" count="1">
            <x v="8"/>
          </reference>
        </references>
      </pivotArea>
    </format>
    <format dxfId="119">
      <pivotArea collapsedLevelsAreSubtotals="1" fieldPosition="0">
        <references count="1">
          <reference field="0" count="1">
            <x v="9"/>
          </reference>
        </references>
      </pivotArea>
    </format>
    <format dxfId="118">
      <pivotArea collapsedLevelsAreSubtotals="1" fieldPosition="0">
        <references count="1">
          <reference field="0" count="1">
            <x v="10"/>
          </reference>
        </references>
      </pivotArea>
    </format>
    <format dxfId="117">
      <pivotArea collapsedLevelsAreSubtotals="1" fieldPosition="0">
        <references count="1">
          <reference field="0" count="1">
            <x v="12"/>
          </reference>
        </references>
      </pivotArea>
    </format>
    <format dxfId="116">
      <pivotArea collapsedLevelsAreSubtotals="1" fieldPosition="0">
        <references count="1">
          <reference field="0" count="1">
            <x v="13"/>
          </reference>
        </references>
      </pivotArea>
    </format>
    <format dxfId="115">
      <pivotArea collapsedLevelsAreSubtotals="1" fieldPosition="0">
        <references count="1">
          <reference field="0" count="1">
            <x v="14"/>
          </reference>
        </references>
      </pivotArea>
    </format>
    <format dxfId="114">
      <pivotArea collapsedLevelsAreSubtotals="1" fieldPosition="0">
        <references count="1">
          <reference field="0" count="1">
            <x v="15"/>
          </reference>
        </references>
      </pivotArea>
    </format>
    <format dxfId="113">
      <pivotArea collapsedLevelsAreSubtotals="1" fieldPosition="0">
        <references count="1">
          <reference field="0" count="1">
            <x v="16"/>
          </reference>
        </references>
      </pivotArea>
    </format>
    <format dxfId="112">
      <pivotArea collapsedLevelsAreSubtotals="1" fieldPosition="0">
        <references count="1">
          <reference field="0" count="1">
            <x v="17"/>
          </reference>
        </references>
      </pivotArea>
    </format>
    <format dxfId="111">
      <pivotArea collapsedLevelsAreSubtotals="1" fieldPosition="0">
        <references count="1">
          <reference field="0" count="1">
            <x v="18"/>
          </reference>
        </references>
      </pivotArea>
    </format>
    <format dxfId="110">
      <pivotArea collapsedLevelsAreSubtotals="1" fieldPosition="0">
        <references count="1">
          <reference field="0" count="1">
            <x v="19"/>
          </reference>
        </references>
      </pivotArea>
    </format>
    <format dxfId="109">
      <pivotArea collapsedLevelsAreSubtotals="1" fieldPosition="0">
        <references count="1">
          <reference field="0" count="1">
            <x v="21"/>
          </reference>
        </references>
      </pivotArea>
    </format>
    <format dxfId="108">
      <pivotArea collapsedLevelsAreSubtotals="1" fieldPosition="0">
        <references count="1">
          <reference field="0" count="1">
            <x v="22"/>
          </reference>
        </references>
      </pivotArea>
    </format>
    <format dxfId="107">
      <pivotArea collapsedLevelsAreSubtotals="1" fieldPosition="0">
        <references count="1">
          <reference field="0" count="1">
            <x v="23"/>
          </reference>
        </references>
      </pivotArea>
    </format>
    <format dxfId="106">
      <pivotArea collapsedLevelsAreSubtotals="1" fieldPosition="0">
        <references count="1">
          <reference field="0" count="1">
            <x v="24"/>
          </reference>
        </references>
      </pivotArea>
    </format>
    <format dxfId="105">
      <pivotArea collapsedLevelsAreSubtotals="1" fieldPosition="0">
        <references count="1">
          <reference field="0" count="1">
            <x v="25"/>
          </reference>
        </references>
      </pivotArea>
    </format>
    <format dxfId="104">
      <pivotArea collapsedLevelsAreSubtotals="1" fieldPosition="0">
        <references count="1">
          <reference field="0" count="1">
            <x v="26"/>
          </reference>
        </references>
      </pivotArea>
    </format>
    <format dxfId="103">
      <pivotArea collapsedLevelsAreSubtotals="1" fieldPosition="0">
        <references count="1">
          <reference field="0" count="1">
            <x v="27"/>
          </reference>
        </references>
      </pivotArea>
    </format>
    <format dxfId="102">
      <pivotArea collapsedLevelsAreSubtotals="1" fieldPosition="0">
        <references count="1">
          <reference field="0" count="1">
            <x v="28"/>
          </reference>
        </references>
      </pivotArea>
    </format>
    <format dxfId="101">
      <pivotArea collapsedLevelsAreSubtotals="1" fieldPosition="0">
        <references count="1">
          <reference field="0" count="1">
            <x v="29"/>
          </reference>
        </references>
      </pivotArea>
    </format>
    <format dxfId="100">
      <pivotArea collapsedLevelsAreSubtotals="1" fieldPosition="0">
        <references count="1">
          <reference field="0" count="1">
            <x v="30"/>
          </reference>
        </references>
      </pivotArea>
    </format>
    <format dxfId="99">
      <pivotArea collapsedLevelsAreSubtotals="1" fieldPosition="0">
        <references count="1">
          <reference field="0" count="1">
            <x v="31"/>
          </reference>
        </references>
      </pivotArea>
    </format>
    <format dxfId="98">
      <pivotArea collapsedLevelsAreSubtotals="1" fieldPosition="0">
        <references count="1">
          <reference field="0" count="1">
            <x v="32"/>
          </reference>
        </references>
      </pivotArea>
    </format>
    <format dxfId="97">
      <pivotArea collapsedLevelsAreSubtotals="1" fieldPosition="0">
        <references count="1">
          <reference field="0" count="1">
            <x v="33"/>
          </reference>
        </references>
      </pivotArea>
    </format>
    <format dxfId="96">
      <pivotArea collapsedLevelsAreSubtotals="1" fieldPosition="0">
        <references count="1">
          <reference field="0" count="1">
            <x v="34"/>
          </reference>
        </references>
      </pivotArea>
    </format>
    <format dxfId="95">
      <pivotArea collapsedLevelsAreSubtotals="1" fieldPosition="0">
        <references count="1">
          <reference field="0" count="1">
            <x v="36"/>
          </reference>
        </references>
      </pivotArea>
    </format>
    <format dxfId="94">
      <pivotArea collapsedLevelsAreSubtotals="1" fieldPosition="0">
        <references count="1">
          <reference field="0" count="1">
            <x v="37"/>
          </reference>
        </references>
      </pivotArea>
    </format>
    <format dxfId="93">
      <pivotArea collapsedLevelsAreSubtotals="1" fieldPosition="0">
        <references count="1">
          <reference field="0" count="1">
            <x v="38"/>
          </reference>
        </references>
      </pivotArea>
    </format>
    <format dxfId="92">
      <pivotArea collapsedLevelsAreSubtotals="1" fieldPosition="0">
        <references count="1">
          <reference field="0" count="1">
            <x v="39"/>
          </reference>
        </references>
      </pivotArea>
    </format>
    <format dxfId="91">
      <pivotArea collapsedLevelsAreSubtotals="1" fieldPosition="0">
        <references count="1">
          <reference field="0" count="1">
            <x v="40"/>
          </reference>
        </references>
      </pivotArea>
    </format>
    <format dxfId="90">
      <pivotArea collapsedLevelsAreSubtotals="1" fieldPosition="0">
        <references count="1">
          <reference field="0" count="1">
            <x v="41"/>
          </reference>
        </references>
      </pivotArea>
    </format>
    <format dxfId="89">
      <pivotArea collapsedLevelsAreSubtotals="1" fieldPosition="0">
        <references count="1">
          <reference field="0" count="1">
            <x v="42"/>
          </reference>
        </references>
      </pivotArea>
    </format>
    <format dxfId="88">
      <pivotArea collapsedLevelsAreSubtotals="1" fieldPosition="0">
        <references count="1">
          <reference field="0" count="1">
            <x v="43"/>
          </reference>
        </references>
      </pivotArea>
    </format>
    <format dxfId="87">
      <pivotArea collapsedLevelsAreSubtotals="1" fieldPosition="0">
        <references count="1">
          <reference field="0" count="1">
            <x v="44"/>
          </reference>
        </references>
      </pivotArea>
    </format>
    <format dxfId="86">
      <pivotArea collapsedLevelsAreSubtotals="1" fieldPosition="0">
        <references count="1">
          <reference field="0" count="1">
            <x v="45"/>
          </reference>
        </references>
      </pivotArea>
    </format>
    <format dxfId="85">
      <pivotArea collapsedLevelsAreSubtotals="1" fieldPosition="0">
        <references count="1">
          <reference field="0" count="1">
            <x v="46"/>
          </reference>
        </references>
      </pivotArea>
    </format>
    <format dxfId="84">
      <pivotArea collapsedLevelsAreSubtotals="1" fieldPosition="0">
        <references count="1">
          <reference field="0" count="1">
            <x v="47"/>
          </reference>
        </references>
      </pivotArea>
    </format>
    <format dxfId="83">
      <pivotArea collapsedLevelsAreSubtotals="1" fieldPosition="0">
        <references count="1">
          <reference field="0" count="1">
            <x v="48"/>
          </reference>
        </references>
      </pivotArea>
    </format>
    <format dxfId="82">
      <pivotArea collapsedLevelsAreSubtotals="1" fieldPosition="0">
        <references count="1">
          <reference field="0" count="1">
            <x v="49"/>
          </reference>
        </references>
      </pivotArea>
    </format>
    <format dxfId="81">
      <pivotArea collapsedLevelsAreSubtotals="1" fieldPosition="0">
        <references count="1">
          <reference field="0" count="1">
            <x v="50"/>
          </reference>
        </references>
      </pivotArea>
    </format>
    <format dxfId="80">
      <pivotArea collapsedLevelsAreSubtotals="1" fieldPosition="0">
        <references count="1">
          <reference field="0" count="1">
            <x v="51"/>
          </reference>
        </references>
      </pivotArea>
    </format>
    <format dxfId="79">
      <pivotArea collapsedLevelsAreSubtotals="1" fieldPosition="0">
        <references count="1">
          <reference field="0" count="1">
            <x v="52"/>
          </reference>
        </references>
      </pivotArea>
    </format>
    <format dxfId="78">
      <pivotArea collapsedLevelsAreSubtotals="1" fieldPosition="0">
        <references count="1">
          <reference field="0" count="1">
            <x v="53"/>
          </reference>
        </references>
      </pivotArea>
    </format>
    <format dxfId="77">
      <pivotArea collapsedLevelsAreSubtotals="1" fieldPosition="0">
        <references count="1">
          <reference field="0" count="1">
            <x v="54"/>
          </reference>
        </references>
      </pivotArea>
    </format>
    <format dxfId="76">
      <pivotArea collapsedLevelsAreSubtotals="1" fieldPosition="0">
        <references count="1">
          <reference field="0" count="1">
            <x v="55"/>
          </reference>
        </references>
      </pivotArea>
    </format>
    <format dxfId="75">
      <pivotArea collapsedLevelsAreSubtotals="1" fieldPosition="0">
        <references count="1">
          <reference field="0" count="1">
            <x v="56"/>
          </reference>
        </references>
      </pivotArea>
    </format>
    <format dxfId="74">
      <pivotArea collapsedLevelsAreSubtotals="1" fieldPosition="0">
        <references count="1">
          <reference field="0" count="1">
            <x v="57"/>
          </reference>
        </references>
      </pivotArea>
    </format>
    <format dxfId="73">
      <pivotArea collapsedLevelsAreSubtotals="1" fieldPosition="0">
        <references count="1">
          <reference field="0" count="1">
            <x v="58"/>
          </reference>
        </references>
      </pivotArea>
    </format>
    <format dxfId="72">
      <pivotArea collapsedLevelsAreSubtotals="1" fieldPosition="0">
        <references count="1">
          <reference field="0" count="1">
            <x v="59"/>
          </reference>
        </references>
      </pivotArea>
    </format>
    <format dxfId="71">
      <pivotArea collapsedLevelsAreSubtotals="1" fieldPosition="0">
        <references count="1">
          <reference field="0" count="1">
            <x v="60"/>
          </reference>
        </references>
      </pivotArea>
    </format>
    <format dxfId="70">
      <pivotArea collapsedLevelsAreSubtotals="1" fieldPosition="0">
        <references count="1">
          <reference field="0" count="1">
            <x v="61"/>
          </reference>
        </references>
      </pivotArea>
    </format>
    <format dxfId="69">
      <pivotArea collapsedLevelsAreSubtotals="1" fieldPosition="0">
        <references count="1">
          <reference field="0" count="1">
            <x v="63"/>
          </reference>
        </references>
      </pivotArea>
    </format>
    <format dxfId="68">
      <pivotArea collapsedLevelsAreSubtotals="1" fieldPosition="0">
        <references count="1">
          <reference field="0" count="1">
            <x v="64"/>
          </reference>
        </references>
      </pivotArea>
    </format>
    <format dxfId="67">
      <pivotArea collapsedLevelsAreSubtotals="1" fieldPosition="0">
        <references count="1">
          <reference field="0" count="1">
            <x v="65"/>
          </reference>
        </references>
      </pivotArea>
    </format>
    <format dxfId="66">
      <pivotArea collapsedLevelsAreSubtotals="1" fieldPosition="0">
        <references count="1">
          <reference field="0" count="1">
            <x v="66"/>
          </reference>
        </references>
      </pivotArea>
    </format>
    <format dxfId="65">
      <pivotArea collapsedLevelsAreSubtotals="1" fieldPosition="0">
        <references count="1">
          <reference field="0" count="1">
            <x v="67"/>
          </reference>
        </references>
      </pivotArea>
    </format>
    <format dxfId="64">
      <pivotArea collapsedLevelsAreSubtotals="1" fieldPosition="0">
        <references count="1">
          <reference field="0" count="1">
            <x v="68"/>
          </reference>
        </references>
      </pivotArea>
    </format>
    <format dxfId="63">
      <pivotArea collapsedLevelsAreSubtotals="1" fieldPosition="0">
        <references count="1">
          <reference field="0" count="1">
            <x v="69"/>
          </reference>
        </references>
      </pivotArea>
    </format>
    <format dxfId="62">
      <pivotArea collapsedLevelsAreSubtotals="1" fieldPosition="0">
        <references count="1">
          <reference field="0" count="1">
            <x v="3"/>
          </reference>
        </references>
      </pivotArea>
    </format>
    <format dxfId="61">
      <pivotArea collapsedLevelsAreSubtotals="1" fieldPosition="0">
        <references count="1">
          <reference field="0" count="1">
            <x v="5"/>
          </reference>
        </references>
      </pivotArea>
    </format>
    <format dxfId="60">
      <pivotArea collapsedLevelsAreSubtotals="1" fieldPosition="0">
        <references count="1">
          <reference field="0" count="1">
            <x v="11"/>
          </reference>
        </references>
      </pivotArea>
    </format>
    <format dxfId="59">
      <pivotArea collapsedLevelsAreSubtotals="1" fieldPosition="0">
        <references count="1">
          <reference field="0" count="1">
            <x v="35"/>
          </reference>
        </references>
      </pivotArea>
    </format>
    <format dxfId="58">
      <pivotArea collapsedLevelsAreSubtotals="1" fieldPosition="0">
        <references count="1">
          <reference field="0" count="1">
            <x v="62"/>
          </reference>
        </references>
      </pivotArea>
    </format>
    <format dxfId="57">
      <pivotArea grandRow="1" outline="0" collapsedLevelsAreSubtotals="1" fieldPosition="0"/>
    </format>
    <format dxfId="56">
      <pivotArea collapsedLevelsAreSubtotals="1" fieldPosition="0">
        <references count="2">
          <reference field="4294967294" count="1" selected="0">
            <x v="0"/>
          </reference>
          <reference field="0" count="1">
            <x v="3"/>
          </reference>
        </references>
      </pivotArea>
    </format>
    <format dxfId="55">
      <pivotArea collapsedLevelsAreSubtotals="1" fieldPosition="0">
        <references count="2">
          <reference field="4294967294" count="1" selected="0">
            <x v="1"/>
          </reference>
          <reference field="0" count="1">
            <x v="3"/>
          </reference>
        </references>
      </pivotArea>
    </format>
    <format dxfId="54">
      <pivotArea collapsedLevelsAreSubtotals="1" fieldPosition="0">
        <references count="2">
          <reference field="4294967294" count="1" selected="0">
            <x v="0"/>
          </reference>
          <reference field="0" count="1">
            <x v="5"/>
          </reference>
        </references>
      </pivotArea>
    </format>
    <format dxfId="53">
      <pivotArea collapsedLevelsAreSubtotals="1" fieldPosition="0">
        <references count="2">
          <reference field="4294967294" count="1" selected="0">
            <x v="1"/>
          </reference>
          <reference field="0" count="1">
            <x v="5"/>
          </reference>
        </references>
      </pivotArea>
    </format>
    <format dxfId="52">
      <pivotArea collapsedLevelsAreSubtotals="1" fieldPosition="0">
        <references count="2">
          <reference field="4294967294" count="1" selected="0">
            <x v="0"/>
          </reference>
          <reference field="0" count="1">
            <x v="11"/>
          </reference>
        </references>
      </pivotArea>
    </format>
    <format dxfId="51">
      <pivotArea collapsedLevelsAreSubtotals="1" fieldPosition="0">
        <references count="2">
          <reference field="4294967294" count="1" selected="0">
            <x v="1"/>
          </reference>
          <reference field="0" count="1">
            <x v="11"/>
          </reference>
        </references>
      </pivotArea>
    </format>
    <format dxfId="50">
      <pivotArea collapsedLevelsAreSubtotals="1" fieldPosition="0">
        <references count="2">
          <reference field="4294967294" count="1" selected="0">
            <x v="0"/>
          </reference>
          <reference field="0" count="1">
            <x v="35"/>
          </reference>
        </references>
      </pivotArea>
    </format>
    <format dxfId="49">
      <pivotArea collapsedLevelsAreSubtotals="1" fieldPosition="0">
        <references count="2">
          <reference field="4294967294" count="1" selected="0">
            <x v="1"/>
          </reference>
          <reference field="0" count="1">
            <x v="35"/>
          </reference>
        </references>
      </pivotArea>
    </format>
    <format dxfId="48">
      <pivotArea collapsedLevelsAreSubtotals="1" fieldPosition="0">
        <references count="2">
          <reference field="4294967294" count="1" selected="0">
            <x v="0"/>
          </reference>
          <reference field="0" count="1">
            <x v="62"/>
          </reference>
        </references>
      </pivotArea>
    </format>
    <format dxfId="47">
      <pivotArea collapsedLevelsAreSubtotals="1" fieldPosition="0">
        <references count="2">
          <reference field="4294967294" count="1" selected="0">
            <x v="1"/>
          </reference>
          <reference field="0" count="1">
            <x v="62"/>
          </reference>
        </references>
      </pivotArea>
    </format>
    <format dxfId="46">
      <pivotArea collapsedLevelsAreSubtotals="1" fieldPosition="0">
        <references count="2">
          <reference field="4294967294" count="1" selected="0">
            <x v="0"/>
          </reference>
          <reference field="0" count="1">
            <x v="7"/>
          </reference>
        </references>
      </pivotArea>
    </format>
    <format dxfId="45">
      <pivotArea collapsedLevelsAreSubtotals="1" fieldPosition="0">
        <references count="2">
          <reference field="4294967294" count="1" selected="0">
            <x v="1"/>
          </reference>
          <reference field="0" count="1">
            <x v="7"/>
          </reference>
        </references>
      </pivotArea>
    </format>
    <format dxfId="44">
      <pivotArea collapsedLevelsAreSubtotals="1" fieldPosition="0">
        <references count="2">
          <reference field="4294967294" count="1" selected="0">
            <x v="0"/>
          </reference>
          <reference field="0" count="1">
            <x v="13"/>
          </reference>
        </references>
      </pivotArea>
    </format>
    <format dxfId="43">
      <pivotArea collapsedLevelsAreSubtotals="1" fieldPosition="0">
        <references count="2">
          <reference field="4294967294" count="1" selected="0">
            <x v="1"/>
          </reference>
          <reference field="0" count="1">
            <x v="13"/>
          </reference>
        </references>
      </pivotArea>
    </format>
    <format dxfId="42">
      <pivotArea collapsedLevelsAreSubtotals="1" fieldPosition="0">
        <references count="2">
          <reference field="4294967294" count="1" selected="0">
            <x v="0"/>
          </reference>
          <reference field="0" count="1">
            <x v="28"/>
          </reference>
        </references>
      </pivotArea>
    </format>
    <format dxfId="41">
      <pivotArea collapsedLevelsAreSubtotals="1" fieldPosition="0">
        <references count="2">
          <reference field="4294967294" count="1" selected="0">
            <x v="1"/>
          </reference>
          <reference field="0" count="1">
            <x v="28"/>
          </reference>
        </references>
      </pivotArea>
    </format>
    <format dxfId="40">
      <pivotArea collapsedLevelsAreSubtotals="1" fieldPosition="0">
        <references count="2">
          <reference field="4294967294" count="1" selected="0">
            <x v="0"/>
          </reference>
          <reference field="0" count="1">
            <x v="30"/>
          </reference>
        </references>
      </pivotArea>
    </format>
    <format dxfId="39">
      <pivotArea collapsedLevelsAreSubtotals="1" fieldPosition="0">
        <references count="2">
          <reference field="4294967294" count="1" selected="0">
            <x v="1"/>
          </reference>
          <reference field="0" count="1">
            <x v="30"/>
          </reference>
        </references>
      </pivotArea>
    </format>
    <format dxfId="38">
      <pivotArea collapsedLevelsAreSubtotals="1" fieldPosition="0">
        <references count="2">
          <reference field="4294967294" count="1" selected="0">
            <x v="0"/>
          </reference>
          <reference field="0" count="1">
            <x v="40"/>
          </reference>
        </references>
      </pivotArea>
    </format>
    <format dxfId="37">
      <pivotArea collapsedLevelsAreSubtotals="1" fieldPosition="0">
        <references count="2">
          <reference field="4294967294" count="1" selected="0">
            <x v="1"/>
          </reference>
          <reference field="0" count="1">
            <x v="40"/>
          </reference>
        </references>
      </pivotArea>
    </format>
    <format dxfId="36">
      <pivotArea collapsedLevelsAreSubtotals="1" fieldPosition="0">
        <references count="2">
          <reference field="4294967294" count="1" selected="0">
            <x v="0"/>
          </reference>
          <reference field="0" count="1">
            <x v="47"/>
          </reference>
        </references>
      </pivotArea>
    </format>
    <format dxfId="35">
      <pivotArea collapsedLevelsAreSubtotals="1" fieldPosition="0">
        <references count="2">
          <reference field="4294967294" count="1" selected="0">
            <x v="1"/>
          </reference>
          <reference field="0" count="1">
            <x v="47"/>
          </reference>
        </references>
      </pivotArea>
    </format>
    <format dxfId="34">
      <pivotArea collapsedLevelsAreSubtotals="1" fieldPosition="0">
        <references count="2">
          <reference field="4294967294" count="1" selected="0">
            <x v="0"/>
          </reference>
          <reference field="0" count="1">
            <x v="49"/>
          </reference>
        </references>
      </pivotArea>
    </format>
    <format dxfId="33">
      <pivotArea collapsedLevelsAreSubtotals="1" fieldPosition="0">
        <references count="2">
          <reference field="4294967294" count="1" selected="0">
            <x v="1"/>
          </reference>
          <reference field="0" count="1">
            <x v="49"/>
          </reference>
        </references>
      </pivotArea>
    </format>
    <format dxfId="32">
      <pivotArea collapsedLevelsAreSubtotals="1" fieldPosition="0">
        <references count="2">
          <reference field="4294967294" count="1" selected="0">
            <x v="0"/>
          </reference>
          <reference field="0" count="1">
            <x v="53"/>
          </reference>
        </references>
      </pivotArea>
    </format>
    <format dxfId="31">
      <pivotArea collapsedLevelsAreSubtotals="1" fieldPosition="0">
        <references count="2">
          <reference field="4294967294" count="1" selected="0">
            <x v="1"/>
          </reference>
          <reference field="0" count="1">
            <x v="53"/>
          </reference>
        </references>
      </pivotArea>
    </format>
    <format dxfId="30">
      <pivotArea collapsedLevelsAreSubtotals="1" fieldPosition="0">
        <references count="2">
          <reference field="4294967294" count="1" selected="0">
            <x v="0"/>
          </reference>
          <reference field="0" count="1">
            <x v="68"/>
          </reference>
        </references>
      </pivotArea>
    </format>
    <format dxfId="29">
      <pivotArea collapsedLevelsAreSubtotals="1" fieldPosition="0">
        <references count="2">
          <reference field="4294967294" count="1" selected="0">
            <x v="1"/>
          </reference>
          <reference field="0" count="1">
            <x v="68"/>
          </reference>
        </references>
      </pivotArea>
    </format>
    <format dxfId="28">
      <pivotArea field="0" type="button" dataOnly="0" labelOnly="1" outline="0" axis="axisRow" fieldPosition="0"/>
    </format>
    <format dxfId="2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collapsedLevelsAreSubtotals="1" fieldPosition="0">
        <references count="2">
          <reference field="4294967294" count="1" selected="0">
            <x v="0"/>
          </reference>
          <reference field="0" count="1">
            <x v="22"/>
          </reference>
        </references>
      </pivotArea>
    </format>
    <format dxfId="23">
      <pivotArea collapsedLevelsAreSubtotals="1" fieldPosition="0">
        <references count="2">
          <reference field="4294967294" count="1" selected="0">
            <x v="1"/>
          </reference>
          <reference field="0" count="1">
            <x v="22"/>
          </reference>
        </references>
      </pivotArea>
    </format>
    <format dxfId="22">
      <pivotArea collapsedLevelsAreSubtotals="1" fieldPosition="0">
        <references count="2">
          <reference field="4294967294" count="1" selected="0">
            <x v="0"/>
          </reference>
          <reference field="0" count="1">
            <x v="25"/>
          </reference>
        </references>
      </pivotArea>
    </format>
    <format dxfId="21">
      <pivotArea collapsedLevelsAreSubtotals="1" fieldPosition="0">
        <references count="2">
          <reference field="4294967294" count="1" selected="0">
            <x v="1"/>
          </reference>
          <reference field="0" count="1">
            <x v="25"/>
          </reference>
        </references>
      </pivotArea>
    </format>
    <format dxfId="20">
      <pivotArea collapsedLevelsAreSubtotals="1" fieldPosition="0">
        <references count="2">
          <reference field="4294967294" count="1" selected="0">
            <x v="0"/>
          </reference>
          <reference field="0" count="1">
            <x v="41"/>
          </reference>
        </references>
      </pivotArea>
    </format>
    <format dxfId="19">
      <pivotArea collapsedLevelsAreSubtotals="1" fieldPosition="0">
        <references count="2">
          <reference field="4294967294" count="1" selected="0">
            <x v="1"/>
          </reference>
          <reference field="0" count="1">
            <x v="41"/>
          </reference>
        </references>
      </pivotArea>
    </format>
    <format dxfId="18">
      <pivotArea collapsedLevelsAreSubtotals="1" fieldPosition="0">
        <references count="2">
          <reference field="4294967294" count="1" selected="0">
            <x v="0"/>
          </reference>
          <reference field="0" count="1">
            <x v="44"/>
          </reference>
        </references>
      </pivotArea>
    </format>
    <format dxfId="17">
      <pivotArea collapsedLevelsAreSubtotals="1" fieldPosition="0">
        <references count="2">
          <reference field="4294967294" count="1" selected="0">
            <x v="1"/>
          </reference>
          <reference field="0" count="1">
            <x v="44"/>
          </reference>
        </references>
      </pivotArea>
    </format>
    <format dxfId="16">
      <pivotArea collapsedLevelsAreSubtotals="1" fieldPosition="0">
        <references count="2">
          <reference field="4294967294" count="1" selected="0">
            <x v="0"/>
          </reference>
          <reference field="0" count="1">
            <x v="55"/>
          </reference>
        </references>
      </pivotArea>
    </format>
    <format dxfId="15">
      <pivotArea collapsedLevelsAreSubtotals="1" fieldPosition="0">
        <references count="2">
          <reference field="4294967294" count="1" selected="0">
            <x v="1"/>
          </reference>
          <reference field="0" count="1">
            <x v="55"/>
          </reference>
        </references>
      </pivotArea>
    </format>
    <format dxfId="14">
      <pivotArea collapsedLevelsAreSubtotals="1" fieldPosition="0">
        <references count="2">
          <reference field="4294967294" count="1" selected="0">
            <x v="0"/>
          </reference>
          <reference field="0" count="1">
            <x v="12"/>
          </reference>
        </references>
      </pivotArea>
    </format>
    <format dxfId="13">
      <pivotArea collapsedLevelsAreSubtotals="1" fieldPosition="0">
        <references count="2">
          <reference field="4294967294" count="1" selected="0">
            <x v="1"/>
          </reference>
          <reference field="0" count="1">
            <x v="12"/>
          </reference>
        </references>
      </pivotArea>
    </format>
    <format dxfId="12">
      <pivotArea collapsedLevelsAreSubtotals="1" fieldPosition="0">
        <references count="2">
          <reference field="4294967294" count="1" selected="0">
            <x v="0"/>
          </reference>
          <reference field="0" count="1">
            <x v="0"/>
          </reference>
        </references>
      </pivotArea>
    </format>
    <format dxfId="11">
      <pivotArea collapsedLevelsAreSubtotals="1" fieldPosition="0">
        <references count="2">
          <reference field="4294967294" count="1" selected="0">
            <x v="1"/>
          </reference>
          <reference field="0" count="1">
            <x v="0"/>
          </reference>
        </references>
      </pivotArea>
    </format>
    <format dxfId="10">
      <pivotArea collapsedLevelsAreSubtotals="1" fieldPosition="0">
        <references count="2">
          <reference field="4294967294" count="1" selected="0">
            <x v="0"/>
          </reference>
          <reference field="0" count="1">
            <x v="21"/>
          </reference>
        </references>
      </pivotArea>
    </format>
    <format dxfId="9">
      <pivotArea collapsedLevelsAreSubtotals="1" fieldPosition="0">
        <references count="2">
          <reference field="4294967294" count="1" selected="0">
            <x v="1"/>
          </reference>
          <reference field="0" count="1">
            <x v="21"/>
          </reference>
        </references>
      </pivotArea>
    </format>
    <format dxfId="8">
      <pivotArea collapsedLevelsAreSubtotals="1" fieldPosition="0">
        <references count="2">
          <reference field="4294967294" count="1" selected="0">
            <x v="0"/>
          </reference>
          <reference field="0" count="1">
            <x v="34"/>
          </reference>
        </references>
      </pivotArea>
    </format>
    <format dxfId="7">
      <pivotArea collapsedLevelsAreSubtotals="1" fieldPosition="0">
        <references count="2">
          <reference field="4294967294" count="1" selected="0">
            <x v="1"/>
          </reference>
          <reference field="0" count="1">
            <x v="34"/>
          </reference>
        </references>
      </pivotArea>
    </format>
    <format dxfId="6">
      <pivotArea collapsedLevelsAreSubtotals="1" fieldPosition="0">
        <references count="2">
          <reference field="4294967294" count="1" selected="0">
            <x v="0"/>
          </reference>
          <reference field="0" count="1">
            <x v="54"/>
          </reference>
        </references>
      </pivotArea>
    </format>
    <format dxfId="5">
      <pivotArea collapsedLevelsAreSubtotals="1" fieldPosition="0">
        <references count="2">
          <reference field="4294967294" count="1" selected="0">
            <x v="1"/>
          </reference>
          <reference field="0" count="1">
            <x v="54"/>
          </reference>
        </references>
      </pivotArea>
    </format>
    <format dxfId="4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3">
      <pivotArea field="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184A63-D6DA-47B5-AA7E-3C90993E895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E12" firstHeaderRow="0" firstDataRow="1" firstDataCol="1" rowPageCount="2" colPageCount="1"/>
  <pivotFields count="8">
    <pivotField axis="axisRow" showAll="0">
      <items count="76">
        <item x="49"/>
        <item x="0"/>
        <item x="32"/>
        <item x="40"/>
        <item x="59"/>
        <item x="39"/>
        <item x="23"/>
        <item x="17"/>
        <item x="4"/>
        <item x="44"/>
        <item x="1"/>
        <item x="41"/>
        <item x="50"/>
        <item x="9"/>
        <item x="5"/>
        <item x="61"/>
        <item x="37"/>
        <item x="6"/>
        <item x="33"/>
        <item x="64"/>
        <item x="25"/>
        <item x="46"/>
        <item x="18"/>
        <item x="57"/>
        <item x="63"/>
        <item x="19"/>
        <item x="35"/>
        <item x="68"/>
        <item x="10"/>
        <item x="45"/>
        <item x="13"/>
        <item x="60"/>
        <item x="56"/>
        <item x="65"/>
        <item x="47"/>
        <item x="38"/>
        <item x="7"/>
        <item x="51"/>
        <item x="66"/>
        <item x="54"/>
        <item x="14"/>
        <item x="20"/>
        <item x="58"/>
        <item x="34"/>
        <item x="22"/>
        <item x="28"/>
        <item x="67"/>
        <item x="11"/>
        <item x="31"/>
        <item x="12"/>
        <item x="2"/>
        <item x="55"/>
        <item x="3"/>
        <item x="16"/>
        <item x="48"/>
        <item x="21"/>
        <item x="53"/>
        <item x="36"/>
        <item x="29"/>
        <item x="69"/>
        <item x="30"/>
        <item x="52"/>
        <item x="42"/>
        <item x="26"/>
        <item x="27"/>
        <item x="8"/>
        <item x="62"/>
        <item x="24"/>
        <item x="15"/>
        <item x="43"/>
        <item x="74"/>
        <item x="70"/>
        <item x="71"/>
        <item x="72"/>
        <item x="73"/>
        <item t="default"/>
      </items>
    </pivotField>
    <pivotField axis="axisPage" showAll="0">
      <items count="17">
        <item m="1" x="15"/>
        <item x="0"/>
        <item x="7"/>
        <item x="9"/>
        <item x="13"/>
        <item x="3"/>
        <item x="11"/>
        <item x="12"/>
        <item x="1"/>
        <item x="10"/>
        <item x="8"/>
        <item x="14"/>
        <item x="4"/>
        <item x="5"/>
        <item x="6"/>
        <item x="2"/>
        <item t="default"/>
      </items>
    </pivotField>
    <pivotField axis="axisPage" multipleItemSelectionAllowed="1" showAll="0">
      <items count="11">
        <item x="4"/>
        <item h="1" x="3"/>
        <item h="1" x="0"/>
        <item x="2"/>
        <item h="1" x="6"/>
        <item h="1" x="1"/>
        <item h="1" x="9"/>
        <item h="1" x="7"/>
        <item h="1" x="8"/>
        <item h="1" x="5"/>
        <item t="default"/>
      </items>
    </pivotField>
    <pivotField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6">
    <i>
      <x v="3"/>
    </i>
    <i>
      <x v="5"/>
    </i>
    <i>
      <x v="11"/>
    </i>
    <i>
      <x v="35"/>
    </i>
    <i>
      <x v="6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1" item="2" hier="-1"/>
    <pageField fld="2" hier="-1"/>
  </pageFields>
  <dataFields count="4">
    <dataField name="Sum of Date d'entrée dans l'industrie" fld="4" baseField="0" baseItem="0"/>
    <dataField name="Sum of Nombre d'années d'expérience" fld="5" baseField="0" baseItem="0"/>
    <dataField name="Sum of Date d'entrée dans la société" fld="6" baseField="0" baseItem="0"/>
    <dataField name="Sum of Nombre d'années dans la société" fld="7" baseField="0" baseItem="0"/>
  </dataFields>
  <formats count="416">
    <format dxfId="542">
      <pivotArea collapsedLevelsAreSubtotals="1" fieldPosition="0">
        <references count="1">
          <reference field="0" count="1">
            <x v="0"/>
          </reference>
        </references>
      </pivotArea>
    </format>
    <format dxfId="541">
      <pivotArea collapsedLevelsAreSubtotals="1" fieldPosition="0">
        <references count="1">
          <reference field="0" count="1">
            <x v="1"/>
          </reference>
        </references>
      </pivotArea>
    </format>
    <format dxfId="540">
      <pivotArea collapsedLevelsAreSubtotals="1" fieldPosition="0">
        <references count="1">
          <reference field="0" count="1">
            <x v="2"/>
          </reference>
        </references>
      </pivotArea>
    </format>
    <format dxfId="539">
      <pivotArea collapsedLevelsAreSubtotals="1" fieldPosition="0">
        <references count="1">
          <reference field="0" count="1">
            <x v="3"/>
          </reference>
        </references>
      </pivotArea>
    </format>
    <format dxfId="538">
      <pivotArea collapsedLevelsAreSubtotals="1" fieldPosition="0">
        <references count="1">
          <reference field="0" count="1">
            <x v="4"/>
          </reference>
        </references>
      </pivotArea>
    </format>
    <format dxfId="537">
      <pivotArea collapsedLevelsAreSubtotals="1" fieldPosition="0">
        <references count="1">
          <reference field="0" count="1">
            <x v="5"/>
          </reference>
        </references>
      </pivotArea>
    </format>
    <format dxfId="536">
      <pivotArea collapsedLevelsAreSubtotals="1" fieldPosition="0">
        <references count="1">
          <reference field="0" count="1">
            <x v="6"/>
          </reference>
        </references>
      </pivotArea>
    </format>
    <format dxfId="535">
      <pivotArea collapsedLevelsAreSubtotals="1" fieldPosition="0">
        <references count="1">
          <reference field="0" count="1">
            <x v="7"/>
          </reference>
        </references>
      </pivotArea>
    </format>
    <format dxfId="534">
      <pivotArea collapsedLevelsAreSubtotals="1" fieldPosition="0">
        <references count="1">
          <reference field="0" count="1">
            <x v="8"/>
          </reference>
        </references>
      </pivotArea>
    </format>
    <format dxfId="533">
      <pivotArea collapsedLevelsAreSubtotals="1" fieldPosition="0">
        <references count="1">
          <reference field="0" count="1">
            <x v="9"/>
          </reference>
        </references>
      </pivotArea>
    </format>
    <format dxfId="532">
      <pivotArea collapsedLevelsAreSubtotals="1" fieldPosition="0">
        <references count="1">
          <reference field="0" count="1">
            <x v="10"/>
          </reference>
        </references>
      </pivotArea>
    </format>
    <format dxfId="531">
      <pivotArea collapsedLevelsAreSubtotals="1" fieldPosition="0">
        <references count="1">
          <reference field="0" count="1">
            <x v="11"/>
          </reference>
        </references>
      </pivotArea>
    </format>
    <format dxfId="530">
      <pivotArea collapsedLevelsAreSubtotals="1" fieldPosition="0">
        <references count="1">
          <reference field="0" count="1">
            <x v="12"/>
          </reference>
        </references>
      </pivotArea>
    </format>
    <format dxfId="529">
      <pivotArea collapsedLevelsAreSubtotals="1" fieldPosition="0">
        <references count="1">
          <reference field="0" count="1">
            <x v="13"/>
          </reference>
        </references>
      </pivotArea>
    </format>
    <format dxfId="528">
      <pivotArea collapsedLevelsAreSubtotals="1" fieldPosition="0">
        <references count="1">
          <reference field="0" count="1">
            <x v="14"/>
          </reference>
        </references>
      </pivotArea>
    </format>
    <format dxfId="527">
      <pivotArea collapsedLevelsAreSubtotals="1" fieldPosition="0">
        <references count="1">
          <reference field="0" count="1">
            <x v="15"/>
          </reference>
        </references>
      </pivotArea>
    </format>
    <format dxfId="526">
      <pivotArea collapsedLevelsAreSubtotals="1" fieldPosition="0">
        <references count="1">
          <reference field="0" count="1">
            <x v="16"/>
          </reference>
        </references>
      </pivotArea>
    </format>
    <format dxfId="525">
      <pivotArea collapsedLevelsAreSubtotals="1" fieldPosition="0">
        <references count="1">
          <reference field="0" count="1">
            <x v="17"/>
          </reference>
        </references>
      </pivotArea>
    </format>
    <format dxfId="524">
      <pivotArea collapsedLevelsAreSubtotals="1" fieldPosition="0">
        <references count="1">
          <reference field="0" count="1">
            <x v="18"/>
          </reference>
        </references>
      </pivotArea>
    </format>
    <format dxfId="523">
      <pivotArea collapsedLevelsAreSubtotals="1" fieldPosition="0">
        <references count="1">
          <reference field="0" count="1">
            <x v="19"/>
          </reference>
        </references>
      </pivotArea>
    </format>
    <format dxfId="522">
      <pivotArea collapsedLevelsAreSubtotals="1" fieldPosition="0">
        <references count="1">
          <reference field="0" count="1">
            <x v="21"/>
          </reference>
        </references>
      </pivotArea>
    </format>
    <format dxfId="521">
      <pivotArea collapsedLevelsAreSubtotals="1" fieldPosition="0">
        <references count="1">
          <reference field="0" count="1">
            <x v="22"/>
          </reference>
        </references>
      </pivotArea>
    </format>
    <format dxfId="520">
      <pivotArea collapsedLevelsAreSubtotals="1" fieldPosition="0">
        <references count="1">
          <reference field="0" count="1">
            <x v="23"/>
          </reference>
        </references>
      </pivotArea>
    </format>
    <format dxfId="519">
      <pivotArea collapsedLevelsAreSubtotals="1" fieldPosition="0">
        <references count="1">
          <reference field="0" count="1">
            <x v="24"/>
          </reference>
        </references>
      </pivotArea>
    </format>
    <format dxfId="518">
      <pivotArea collapsedLevelsAreSubtotals="1" fieldPosition="0">
        <references count="1">
          <reference field="0" count="1">
            <x v="25"/>
          </reference>
        </references>
      </pivotArea>
    </format>
    <format dxfId="517">
      <pivotArea collapsedLevelsAreSubtotals="1" fieldPosition="0">
        <references count="1">
          <reference field="0" count="1">
            <x v="26"/>
          </reference>
        </references>
      </pivotArea>
    </format>
    <format dxfId="516">
      <pivotArea collapsedLevelsAreSubtotals="1" fieldPosition="0">
        <references count="1">
          <reference field="0" count="1">
            <x v="27"/>
          </reference>
        </references>
      </pivotArea>
    </format>
    <format dxfId="515">
      <pivotArea collapsedLevelsAreSubtotals="1" fieldPosition="0">
        <references count="1">
          <reference field="0" count="1">
            <x v="28"/>
          </reference>
        </references>
      </pivotArea>
    </format>
    <format dxfId="514">
      <pivotArea collapsedLevelsAreSubtotals="1" fieldPosition="0">
        <references count="1">
          <reference field="0" count="1">
            <x v="29"/>
          </reference>
        </references>
      </pivotArea>
    </format>
    <format dxfId="513">
      <pivotArea collapsedLevelsAreSubtotals="1" fieldPosition="0">
        <references count="1">
          <reference field="0" count="1">
            <x v="30"/>
          </reference>
        </references>
      </pivotArea>
    </format>
    <format dxfId="512">
      <pivotArea collapsedLevelsAreSubtotals="1" fieldPosition="0">
        <references count="1">
          <reference field="0" count="1">
            <x v="31"/>
          </reference>
        </references>
      </pivotArea>
    </format>
    <format dxfId="511">
      <pivotArea collapsedLevelsAreSubtotals="1" fieldPosition="0">
        <references count="1">
          <reference field="0" count="1">
            <x v="32"/>
          </reference>
        </references>
      </pivotArea>
    </format>
    <format dxfId="510">
      <pivotArea collapsedLevelsAreSubtotals="1" fieldPosition="0">
        <references count="1">
          <reference field="0" count="1">
            <x v="33"/>
          </reference>
        </references>
      </pivotArea>
    </format>
    <format dxfId="509">
      <pivotArea collapsedLevelsAreSubtotals="1" fieldPosition="0">
        <references count="1">
          <reference field="0" count="1">
            <x v="34"/>
          </reference>
        </references>
      </pivotArea>
    </format>
    <format dxfId="508">
      <pivotArea collapsedLevelsAreSubtotals="1" fieldPosition="0">
        <references count="1">
          <reference field="0" count="1">
            <x v="35"/>
          </reference>
        </references>
      </pivotArea>
    </format>
    <format dxfId="507">
      <pivotArea collapsedLevelsAreSubtotals="1" fieldPosition="0">
        <references count="1">
          <reference field="0" count="1">
            <x v="36"/>
          </reference>
        </references>
      </pivotArea>
    </format>
    <format dxfId="506">
      <pivotArea collapsedLevelsAreSubtotals="1" fieldPosition="0">
        <references count="1">
          <reference field="0" count="1">
            <x v="37"/>
          </reference>
        </references>
      </pivotArea>
    </format>
    <format dxfId="505">
      <pivotArea collapsedLevelsAreSubtotals="1" fieldPosition="0">
        <references count="1">
          <reference field="0" count="1">
            <x v="38"/>
          </reference>
        </references>
      </pivotArea>
    </format>
    <format dxfId="504">
      <pivotArea collapsedLevelsAreSubtotals="1" fieldPosition="0">
        <references count="1">
          <reference field="0" count="1">
            <x v="39"/>
          </reference>
        </references>
      </pivotArea>
    </format>
    <format dxfId="503">
      <pivotArea collapsedLevelsAreSubtotals="1" fieldPosition="0">
        <references count="1">
          <reference field="0" count="1">
            <x v="40"/>
          </reference>
        </references>
      </pivotArea>
    </format>
    <format dxfId="502">
      <pivotArea collapsedLevelsAreSubtotals="1" fieldPosition="0">
        <references count="1">
          <reference field="0" count="1">
            <x v="41"/>
          </reference>
        </references>
      </pivotArea>
    </format>
    <format dxfId="501">
      <pivotArea collapsedLevelsAreSubtotals="1" fieldPosition="0">
        <references count="1">
          <reference field="0" count="1">
            <x v="42"/>
          </reference>
        </references>
      </pivotArea>
    </format>
    <format dxfId="500">
      <pivotArea collapsedLevelsAreSubtotals="1" fieldPosition="0">
        <references count="1">
          <reference field="0" count="1">
            <x v="43"/>
          </reference>
        </references>
      </pivotArea>
    </format>
    <format dxfId="499">
      <pivotArea collapsedLevelsAreSubtotals="1" fieldPosition="0">
        <references count="1">
          <reference field="0" count="1">
            <x v="44"/>
          </reference>
        </references>
      </pivotArea>
    </format>
    <format dxfId="498">
      <pivotArea collapsedLevelsAreSubtotals="1" fieldPosition="0">
        <references count="1">
          <reference field="0" count="1">
            <x v="45"/>
          </reference>
        </references>
      </pivotArea>
    </format>
    <format dxfId="497">
      <pivotArea collapsedLevelsAreSubtotals="1" fieldPosition="0">
        <references count="1">
          <reference field="0" count="1">
            <x v="46"/>
          </reference>
        </references>
      </pivotArea>
    </format>
    <format dxfId="496">
      <pivotArea collapsedLevelsAreSubtotals="1" fieldPosition="0">
        <references count="1">
          <reference field="0" count="1">
            <x v="47"/>
          </reference>
        </references>
      </pivotArea>
    </format>
    <format dxfId="495">
      <pivotArea collapsedLevelsAreSubtotals="1" fieldPosition="0">
        <references count="1">
          <reference field="0" count="1">
            <x v="48"/>
          </reference>
        </references>
      </pivotArea>
    </format>
    <format dxfId="494">
      <pivotArea collapsedLevelsAreSubtotals="1" fieldPosition="0">
        <references count="1">
          <reference field="0" count="1">
            <x v="49"/>
          </reference>
        </references>
      </pivotArea>
    </format>
    <format dxfId="493">
      <pivotArea collapsedLevelsAreSubtotals="1" fieldPosition="0">
        <references count="1">
          <reference field="0" count="1">
            <x v="50"/>
          </reference>
        </references>
      </pivotArea>
    </format>
    <format dxfId="492">
      <pivotArea collapsedLevelsAreSubtotals="1" fieldPosition="0">
        <references count="1">
          <reference field="0" count="1">
            <x v="51"/>
          </reference>
        </references>
      </pivotArea>
    </format>
    <format dxfId="491">
      <pivotArea collapsedLevelsAreSubtotals="1" fieldPosition="0">
        <references count="1">
          <reference field="0" count="1">
            <x v="52"/>
          </reference>
        </references>
      </pivotArea>
    </format>
    <format dxfId="490">
      <pivotArea collapsedLevelsAreSubtotals="1" fieldPosition="0">
        <references count="1">
          <reference field="0" count="1">
            <x v="53"/>
          </reference>
        </references>
      </pivotArea>
    </format>
    <format dxfId="489">
      <pivotArea collapsedLevelsAreSubtotals="1" fieldPosition="0">
        <references count="1">
          <reference field="0" count="1">
            <x v="54"/>
          </reference>
        </references>
      </pivotArea>
    </format>
    <format dxfId="488">
      <pivotArea collapsedLevelsAreSubtotals="1" fieldPosition="0">
        <references count="1">
          <reference field="0" count="1">
            <x v="55"/>
          </reference>
        </references>
      </pivotArea>
    </format>
    <format dxfId="487">
      <pivotArea collapsedLevelsAreSubtotals="1" fieldPosition="0">
        <references count="1">
          <reference field="0" count="1">
            <x v="56"/>
          </reference>
        </references>
      </pivotArea>
    </format>
    <format dxfId="486">
      <pivotArea collapsedLevelsAreSubtotals="1" fieldPosition="0">
        <references count="1">
          <reference field="0" count="1">
            <x v="57"/>
          </reference>
        </references>
      </pivotArea>
    </format>
    <format dxfId="485">
      <pivotArea collapsedLevelsAreSubtotals="1" fieldPosition="0">
        <references count="1">
          <reference field="0" count="1">
            <x v="58"/>
          </reference>
        </references>
      </pivotArea>
    </format>
    <format dxfId="484">
      <pivotArea collapsedLevelsAreSubtotals="1" fieldPosition="0">
        <references count="1">
          <reference field="0" count="1">
            <x v="59"/>
          </reference>
        </references>
      </pivotArea>
    </format>
    <format dxfId="483">
      <pivotArea collapsedLevelsAreSubtotals="1" fieldPosition="0">
        <references count="1">
          <reference field="0" count="1">
            <x v="60"/>
          </reference>
        </references>
      </pivotArea>
    </format>
    <format dxfId="482">
      <pivotArea collapsedLevelsAreSubtotals="1" fieldPosition="0">
        <references count="1">
          <reference field="0" count="1">
            <x v="61"/>
          </reference>
        </references>
      </pivotArea>
    </format>
    <format dxfId="481">
      <pivotArea collapsedLevelsAreSubtotals="1" fieldPosition="0">
        <references count="1">
          <reference field="0" count="1">
            <x v="62"/>
          </reference>
        </references>
      </pivotArea>
    </format>
    <format dxfId="480">
      <pivotArea collapsedLevelsAreSubtotals="1" fieldPosition="0">
        <references count="1">
          <reference field="0" count="1">
            <x v="63"/>
          </reference>
        </references>
      </pivotArea>
    </format>
    <format dxfId="479">
      <pivotArea collapsedLevelsAreSubtotals="1" fieldPosition="0">
        <references count="1">
          <reference field="0" count="1">
            <x v="64"/>
          </reference>
        </references>
      </pivotArea>
    </format>
    <format dxfId="478">
      <pivotArea collapsedLevelsAreSubtotals="1" fieldPosition="0">
        <references count="1">
          <reference field="0" count="1">
            <x v="65"/>
          </reference>
        </references>
      </pivotArea>
    </format>
    <format dxfId="477">
      <pivotArea collapsedLevelsAreSubtotals="1" fieldPosition="0">
        <references count="1">
          <reference field="0" count="1">
            <x v="66"/>
          </reference>
        </references>
      </pivotArea>
    </format>
    <format dxfId="476">
      <pivotArea collapsedLevelsAreSubtotals="1" fieldPosition="0">
        <references count="1">
          <reference field="0" count="1">
            <x v="67"/>
          </reference>
        </references>
      </pivotArea>
    </format>
    <format dxfId="475">
      <pivotArea collapsedLevelsAreSubtotals="1" fieldPosition="0">
        <references count="1">
          <reference field="0" count="1">
            <x v="68"/>
          </reference>
        </references>
      </pivotArea>
    </format>
    <format dxfId="474">
      <pivotArea collapsedLevelsAreSubtotals="1" fieldPosition="0">
        <references count="1">
          <reference field="0" count="1">
            <x v="69"/>
          </reference>
        </references>
      </pivotArea>
    </format>
    <format dxfId="473">
      <pivotArea grandRow="1" outline="0" collapsedLevelsAreSubtotals="1" fieldPosition="0"/>
    </format>
    <format dxfId="472">
      <pivotArea collapsedLevelsAreSubtotals="1" fieldPosition="0">
        <references count="2">
          <reference field="4294967294" count="1" selected="0">
            <x v="0"/>
          </reference>
          <reference field="0" count="1">
            <x v="0"/>
          </reference>
        </references>
      </pivotArea>
    </format>
    <format dxfId="471">
      <pivotArea collapsedLevelsAreSubtotals="1" fieldPosition="0">
        <references count="2">
          <reference field="4294967294" count="1" selected="0">
            <x v="1"/>
          </reference>
          <reference field="0" count="1">
            <x v="0"/>
          </reference>
        </references>
      </pivotArea>
    </format>
    <format dxfId="470">
      <pivotArea collapsedLevelsAreSubtotals="1" fieldPosition="0">
        <references count="2">
          <reference field="4294967294" count="1" selected="0">
            <x v="2"/>
          </reference>
          <reference field="0" count="1">
            <x v="0"/>
          </reference>
        </references>
      </pivotArea>
    </format>
    <format dxfId="469">
      <pivotArea collapsedLevelsAreSubtotals="1" fieldPosition="0">
        <references count="2">
          <reference field="4294967294" count="1" selected="0">
            <x v="3"/>
          </reference>
          <reference field="0" count="1">
            <x v="0"/>
          </reference>
        </references>
      </pivotArea>
    </format>
    <format dxfId="468">
      <pivotArea collapsedLevelsAreSubtotals="1" fieldPosition="0">
        <references count="2">
          <reference field="4294967294" count="1" selected="0">
            <x v="0"/>
          </reference>
          <reference field="0" count="1">
            <x v="1"/>
          </reference>
        </references>
      </pivotArea>
    </format>
    <format dxfId="467">
      <pivotArea collapsedLevelsAreSubtotals="1" fieldPosition="0">
        <references count="2">
          <reference field="4294967294" count="1" selected="0">
            <x v="1"/>
          </reference>
          <reference field="0" count="1">
            <x v="1"/>
          </reference>
        </references>
      </pivotArea>
    </format>
    <format dxfId="466">
      <pivotArea collapsedLevelsAreSubtotals="1" fieldPosition="0">
        <references count="2">
          <reference field="4294967294" count="1" selected="0">
            <x v="2"/>
          </reference>
          <reference field="0" count="1">
            <x v="1"/>
          </reference>
        </references>
      </pivotArea>
    </format>
    <format dxfId="465">
      <pivotArea collapsedLevelsAreSubtotals="1" fieldPosition="0">
        <references count="2">
          <reference field="4294967294" count="1" selected="0">
            <x v="3"/>
          </reference>
          <reference field="0" count="1">
            <x v="1"/>
          </reference>
        </references>
      </pivotArea>
    </format>
    <format dxfId="464">
      <pivotArea collapsedLevelsAreSubtotals="1" fieldPosition="0">
        <references count="2">
          <reference field="4294967294" count="1" selected="0">
            <x v="0"/>
          </reference>
          <reference field="0" count="1">
            <x v="4"/>
          </reference>
        </references>
      </pivotArea>
    </format>
    <format dxfId="463">
      <pivotArea collapsedLevelsAreSubtotals="1" fieldPosition="0">
        <references count="2">
          <reference field="4294967294" count="1" selected="0">
            <x v="1"/>
          </reference>
          <reference field="0" count="1">
            <x v="4"/>
          </reference>
        </references>
      </pivotArea>
    </format>
    <format dxfId="462">
      <pivotArea collapsedLevelsAreSubtotals="1" fieldPosition="0">
        <references count="2">
          <reference field="4294967294" count="1" selected="0">
            <x v="2"/>
          </reference>
          <reference field="0" count="1">
            <x v="4"/>
          </reference>
        </references>
      </pivotArea>
    </format>
    <format dxfId="461">
      <pivotArea collapsedLevelsAreSubtotals="1" fieldPosition="0">
        <references count="2">
          <reference field="4294967294" count="1" selected="0">
            <x v="3"/>
          </reference>
          <reference field="0" count="1">
            <x v="4"/>
          </reference>
        </references>
      </pivotArea>
    </format>
    <format dxfId="460">
      <pivotArea collapsedLevelsAreSubtotals="1" fieldPosition="0">
        <references count="2">
          <reference field="4294967294" count="1" selected="0">
            <x v="0"/>
          </reference>
          <reference field="0" count="1">
            <x v="8"/>
          </reference>
        </references>
      </pivotArea>
    </format>
    <format dxfId="459">
      <pivotArea collapsedLevelsAreSubtotals="1" fieldPosition="0">
        <references count="2">
          <reference field="4294967294" count="1" selected="0">
            <x v="1"/>
          </reference>
          <reference field="0" count="1">
            <x v="8"/>
          </reference>
        </references>
      </pivotArea>
    </format>
    <format dxfId="458">
      <pivotArea collapsedLevelsAreSubtotals="1" fieldPosition="0">
        <references count="2">
          <reference field="4294967294" count="1" selected="0">
            <x v="2"/>
          </reference>
          <reference field="0" count="1">
            <x v="8"/>
          </reference>
        </references>
      </pivotArea>
    </format>
    <format dxfId="457">
      <pivotArea collapsedLevelsAreSubtotals="1" fieldPosition="0">
        <references count="2">
          <reference field="4294967294" count="1" selected="0">
            <x v="3"/>
          </reference>
          <reference field="0" count="1">
            <x v="8"/>
          </reference>
        </references>
      </pivotArea>
    </format>
    <format dxfId="456">
      <pivotArea collapsedLevelsAreSubtotals="1" fieldPosition="0">
        <references count="2">
          <reference field="4294967294" count="1" selected="0">
            <x v="0"/>
          </reference>
          <reference field="0" count="1">
            <x v="10"/>
          </reference>
        </references>
      </pivotArea>
    </format>
    <format dxfId="455">
      <pivotArea collapsedLevelsAreSubtotals="1" fieldPosition="0">
        <references count="2">
          <reference field="4294967294" count="1" selected="0">
            <x v="1"/>
          </reference>
          <reference field="0" count="1">
            <x v="10"/>
          </reference>
        </references>
      </pivotArea>
    </format>
    <format dxfId="454">
      <pivotArea collapsedLevelsAreSubtotals="1" fieldPosition="0">
        <references count="2">
          <reference field="4294967294" count="1" selected="0">
            <x v="2"/>
          </reference>
          <reference field="0" count="1">
            <x v="10"/>
          </reference>
        </references>
      </pivotArea>
    </format>
    <format dxfId="453">
      <pivotArea collapsedLevelsAreSubtotals="1" fieldPosition="0">
        <references count="2">
          <reference field="4294967294" count="1" selected="0">
            <x v="3"/>
          </reference>
          <reference field="0" count="1">
            <x v="10"/>
          </reference>
        </references>
      </pivotArea>
    </format>
    <format dxfId="452">
      <pivotArea collapsedLevelsAreSubtotals="1" fieldPosition="0">
        <references count="2">
          <reference field="4294967294" count="1" selected="0">
            <x v="0"/>
          </reference>
          <reference field="0" count="1">
            <x v="12"/>
          </reference>
        </references>
      </pivotArea>
    </format>
    <format dxfId="451">
      <pivotArea collapsedLevelsAreSubtotals="1" fieldPosition="0">
        <references count="2">
          <reference field="4294967294" count="1" selected="0">
            <x v="1"/>
          </reference>
          <reference field="0" count="1">
            <x v="12"/>
          </reference>
        </references>
      </pivotArea>
    </format>
    <format dxfId="450">
      <pivotArea collapsedLevelsAreSubtotals="1" fieldPosition="0">
        <references count="2">
          <reference field="4294967294" count="1" selected="0">
            <x v="2"/>
          </reference>
          <reference field="0" count="1">
            <x v="12"/>
          </reference>
        </references>
      </pivotArea>
    </format>
    <format dxfId="449">
      <pivotArea collapsedLevelsAreSubtotals="1" fieldPosition="0">
        <references count="2">
          <reference field="4294967294" count="1" selected="0">
            <x v="3"/>
          </reference>
          <reference field="0" count="1">
            <x v="12"/>
          </reference>
        </references>
      </pivotArea>
    </format>
    <format dxfId="448">
      <pivotArea collapsedLevelsAreSubtotals="1" fieldPosition="0">
        <references count="2">
          <reference field="4294967294" count="1" selected="0">
            <x v="0"/>
          </reference>
          <reference field="0" count="1">
            <x v="14"/>
          </reference>
        </references>
      </pivotArea>
    </format>
    <format dxfId="447">
      <pivotArea collapsedLevelsAreSubtotals="1" fieldPosition="0">
        <references count="2">
          <reference field="4294967294" count="1" selected="0">
            <x v="1"/>
          </reference>
          <reference field="0" count="1">
            <x v="14"/>
          </reference>
        </references>
      </pivotArea>
    </format>
    <format dxfId="446">
      <pivotArea collapsedLevelsAreSubtotals="1" fieldPosition="0">
        <references count="2">
          <reference field="4294967294" count="1" selected="0">
            <x v="2"/>
          </reference>
          <reference field="0" count="1">
            <x v="14"/>
          </reference>
        </references>
      </pivotArea>
    </format>
    <format dxfId="445">
      <pivotArea collapsedLevelsAreSubtotals="1" fieldPosition="0">
        <references count="2">
          <reference field="4294967294" count="1" selected="0">
            <x v="3"/>
          </reference>
          <reference field="0" count="1">
            <x v="14"/>
          </reference>
        </references>
      </pivotArea>
    </format>
    <format dxfId="444">
      <pivotArea collapsedLevelsAreSubtotals="1" fieldPosition="0">
        <references count="2">
          <reference field="4294967294" count="1" selected="0">
            <x v="0"/>
          </reference>
          <reference field="0" count="1">
            <x v="16"/>
          </reference>
        </references>
      </pivotArea>
    </format>
    <format dxfId="443">
      <pivotArea collapsedLevelsAreSubtotals="1" fieldPosition="0">
        <references count="2">
          <reference field="4294967294" count="1" selected="0">
            <x v="1"/>
          </reference>
          <reference field="0" count="1">
            <x v="16"/>
          </reference>
        </references>
      </pivotArea>
    </format>
    <format dxfId="442">
      <pivotArea collapsedLevelsAreSubtotals="1" fieldPosition="0">
        <references count="2">
          <reference field="4294967294" count="1" selected="0">
            <x v="2"/>
          </reference>
          <reference field="0" count="1">
            <x v="16"/>
          </reference>
        </references>
      </pivotArea>
    </format>
    <format dxfId="441">
      <pivotArea collapsedLevelsAreSubtotals="1" fieldPosition="0">
        <references count="2">
          <reference field="4294967294" count="1" selected="0">
            <x v="3"/>
          </reference>
          <reference field="0" count="1">
            <x v="16"/>
          </reference>
        </references>
      </pivotArea>
    </format>
    <format dxfId="440">
      <pivotArea collapsedLevelsAreSubtotals="1" fieldPosition="0">
        <references count="2">
          <reference field="4294967294" count="1" selected="0">
            <x v="0"/>
          </reference>
          <reference field="0" count="1">
            <x v="17"/>
          </reference>
        </references>
      </pivotArea>
    </format>
    <format dxfId="439">
      <pivotArea collapsedLevelsAreSubtotals="1" fieldPosition="0">
        <references count="2">
          <reference field="4294967294" count="1" selected="0">
            <x v="1"/>
          </reference>
          <reference field="0" count="1">
            <x v="17"/>
          </reference>
        </references>
      </pivotArea>
    </format>
    <format dxfId="438">
      <pivotArea collapsedLevelsAreSubtotals="1" fieldPosition="0">
        <references count="2">
          <reference field="4294967294" count="1" selected="0">
            <x v="2"/>
          </reference>
          <reference field="0" count="1">
            <x v="17"/>
          </reference>
        </references>
      </pivotArea>
    </format>
    <format dxfId="437">
      <pivotArea collapsedLevelsAreSubtotals="1" fieldPosition="0">
        <references count="2">
          <reference field="4294967294" count="1" selected="0">
            <x v="3"/>
          </reference>
          <reference field="0" count="1">
            <x v="17"/>
          </reference>
        </references>
      </pivotArea>
    </format>
    <format dxfId="436">
      <pivotArea collapsedLevelsAreSubtotals="1" fieldPosition="0">
        <references count="2">
          <reference field="4294967294" count="1" selected="0">
            <x v="0"/>
          </reference>
          <reference field="0" count="1">
            <x v="18"/>
          </reference>
        </references>
      </pivotArea>
    </format>
    <format dxfId="435">
      <pivotArea collapsedLevelsAreSubtotals="1" fieldPosition="0">
        <references count="2">
          <reference field="4294967294" count="1" selected="0">
            <x v="1"/>
          </reference>
          <reference field="0" count="1">
            <x v="18"/>
          </reference>
        </references>
      </pivotArea>
    </format>
    <format dxfId="434">
      <pivotArea collapsedLevelsAreSubtotals="1" fieldPosition="0">
        <references count="2">
          <reference field="4294967294" count="1" selected="0">
            <x v="2"/>
          </reference>
          <reference field="0" count="1">
            <x v="18"/>
          </reference>
        </references>
      </pivotArea>
    </format>
    <format dxfId="433">
      <pivotArea collapsedLevelsAreSubtotals="1" fieldPosition="0">
        <references count="2">
          <reference field="4294967294" count="1" selected="0">
            <x v="3"/>
          </reference>
          <reference field="0" count="1">
            <x v="18"/>
          </reference>
        </references>
      </pivotArea>
    </format>
    <format dxfId="432">
      <pivotArea collapsedLevelsAreSubtotals="1" fieldPosition="0">
        <references count="2">
          <reference field="4294967294" count="1" selected="0">
            <x v="0"/>
          </reference>
          <reference field="0" count="1">
            <x v="19"/>
          </reference>
        </references>
      </pivotArea>
    </format>
    <format dxfId="431">
      <pivotArea collapsedLevelsAreSubtotals="1" fieldPosition="0">
        <references count="2">
          <reference field="4294967294" count="1" selected="0">
            <x v="1"/>
          </reference>
          <reference field="0" count="1">
            <x v="19"/>
          </reference>
        </references>
      </pivotArea>
    </format>
    <format dxfId="430">
      <pivotArea collapsedLevelsAreSubtotals="1" fieldPosition="0">
        <references count="2">
          <reference field="4294967294" count="1" selected="0">
            <x v="2"/>
          </reference>
          <reference field="0" count="1">
            <x v="19"/>
          </reference>
        </references>
      </pivotArea>
    </format>
    <format dxfId="429">
      <pivotArea collapsedLevelsAreSubtotals="1" fieldPosition="0">
        <references count="2">
          <reference field="4294967294" count="1" selected="0">
            <x v="3"/>
          </reference>
          <reference field="0" count="1">
            <x v="19"/>
          </reference>
        </references>
      </pivotArea>
    </format>
    <format dxfId="428">
      <pivotArea collapsedLevelsAreSubtotals="1" fieldPosition="0">
        <references count="2">
          <reference field="4294967294" count="1" selected="0">
            <x v="0"/>
          </reference>
          <reference field="0" count="1">
            <x v="21"/>
          </reference>
        </references>
      </pivotArea>
    </format>
    <format dxfId="427">
      <pivotArea collapsedLevelsAreSubtotals="1" fieldPosition="0">
        <references count="2">
          <reference field="4294967294" count="1" selected="0">
            <x v="1"/>
          </reference>
          <reference field="0" count="1">
            <x v="21"/>
          </reference>
        </references>
      </pivotArea>
    </format>
    <format dxfId="426">
      <pivotArea collapsedLevelsAreSubtotals="1" fieldPosition="0">
        <references count="2">
          <reference field="4294967294" count="1" selected="0">
            <x v="2"/>
          </reference>
          <reference field="0" count="1">
            <x v="21"/>
          </reference>
        </references>
      </pivotArea>
    </format>
    <format dxfId="425">
      <pivotArea collapsedLevelsAreSubtotals="1" fieldPosition="0">
        <references count="2">
          <reference field="4294967294" count="1" selected="0">
            <x v="3"/>
          </reference>
          <reference field="0" count="1">
            <x v="21"/>
          </reference>
        </references>
      </pivotArea>
    </format>
    <format dxfId="424">
      <pivotArea collapsedLevelsAreSubtotals="1" fieldPosition="0">
        <references count="2">
          <reference field="4294967294" count="1" selected="0">
            <x v="0"/>
          </reference>
          <reference field="0" count="1">
            <x v="23"/>
          </reference>
        </references>
      </pivotArea>
    </format>
    <format dxfId="423">
      <pivotArea collapsedLevelsAreSubtotals="1" fieldPosition="0">
        <references count="2">
          <reference field="4294967294" count="1" selected="0">
            <x v="1"/>
          </reference>
          <reference field="0" count="1">
            <x v="23"/>
          </reference>
        </references>
      </pivotArea>
    </format>
    <format dxfId="422">
      <pivotArea collapsedLevelsAreSubtotals="1" fieldPosition="0">
        <references count="2">
          <reference field="4294967294" count="1" selected="0">
            <x v="2"/>
          </reference>
          <reference field="0" count="1">
            <x v="23"/>
          </reference>
        </references>
      </pivotArea>
    </format>
    <format dxfId="421">
      <pivotArea collapsedLevelsAreSubtotals="1" fieldPosition="0">
        <references count="2">
          <reference field="4294967294" count="1" selected="0">
            <x v="3"/>
          </reference>
          <reference field="0" count="1">
            <x v="23"/>
          </reference>
        </references>
      </pivotArea>
    </format>
    <format dxfId="420">
      <pivotArea collapsedLevelsAreSubtotals="1" fieldPosition="0">
        <references count="2">
          <reference field="4294967294" count="1" selected="0">
            <x v="0"/>
          </reference>
          <reference field="0" count="1">
            <x v="24"/>
          </reference>
        </references>
      </pivotArea>
    </format>
    <format dxfId="419">
      <pivotArea collapsedLevelsAreSubtotals="1" fieldPosition="0">
        <references count="2">
          <reference field="4294967294" count="1" selected="0">
            <x v="1"/>
          </reference>
          <reference field="0" count="1">
            <x v="24"/>
          </reference>
        </references>
      </pivotArea>
    </format>
    <format dxfId="418">
      <pivotArea collapsedLevelsAreSubtotals="1" fieldPosition="0">
        <references count="2">
          <reference field="4294967294" count="1" selected="0">
            <x v="2"/>
          </reference>
          <reference field="0" count="1">
            <x v="24"/>
          </reference>
        </references>
      </pivotArea>
    </format>
    <format dxfId="417">
      <pivotArea collapsedLevelsAreSubtotals="1" fieldPosition="0">
        <references count="2">
          <reference field="4294967294" count="1" selected="0">
            <x v="3"/>
          </reference>
          <reference field="0" count="1">
            <x v="24"/>
          </reference>
        </references>
      </pivotArea>
    </format>
    <format dxfId="416">
      <pivotArea collapsedLevelsAreSubtotals="1" fieldPosition="0">
        <references count="2">
          <reference field="4294967294" count="1" selected="0">
            <x v="0"/>
          </reference>
          <reference field="0" count="1">
            <x v="26"/>
          </reference>
        </references>
      </pivotArea>
    </format>
    <format dxfId="415">
      <pivotArea collapsedLevelsAreSubtotals="1" fieldPosition="0">
        <references count="2">
          <reference field="4294967294" count="1" selected="0">
            <x v="1"/>
          </reference>
          <reference field="0" count="1">
            <x v="26"/>
          </reference>
        </references>
      </pivotArea>
    </format>
    <format dxfId="414">
      <pivotArea collapsedLevelsAreSubtotals="1" fieldPosition="0">
        <references count="2">
          <reference field="4294967294" count="1" selected="0">
            <x v="2"/>
          </reference>
          <reference field="0" count="1">
            <x v="26"/>
          </reference>
        </references>
      </pivotArea>
    </format>
    <format dxfId="413">
      <pivotArea collapsedLevelsAreSubtotals="1" fieldPosition="0">
        <references count="2">
          <reference field="4294967294" count="1" selected="0">
            <x v="3"/>
          </reference>
          <reference field="0" count="1">
            <x v="26"/>
          </reference>
        </references>
      </pivotArea>
    </format>
    <format dxfId="412">
      <pivotArea collapsedLevelsAreSubtotals="1" fieldPosition="0">
        <references count="2">
          <reference field="4294967294" count="1" selected="0">
            <x v="0"/>
          </reference>
          <reference field="0" count="1">
            <x v="31"/>
          </reference>
        </references>
      </pivotArea>
    </format>
    <format dxfId="411">
      <pivotArea collapsedLevelsAreSubtotals="1" fieldPosition="0">
        <references count="2">
          <reference field="4294967294" count="1" selected="0">
            <x v="1"/>
          </reference>
          <reference field="0" count="1">
            <x v="31"/>
          </reference>
        </references>
      </pivotArea>
    </format>
    <format dxfId="410">
      <pivotArea collapsedLevelsAreSubtotals="1" fieldPosition="0">
        <references count="2">
          <reference field="4294967294" count="1" selected="0">
            <x v="2"/>
          </reference>
          <reference field="0" count="1">
            <x v="31"/>
          </reference>
        </references>
      </pivotArea>
    </format>
    <format dxfId="409">
      <pivotArea collapsedLevelsAreSubtotals="1" fieldPosition="0">
        <references count="2">
          <reference field="4294967294" count="1" selected="0">
            <x v="3"/>
          </reference>
          <reference field="0" count="1">
            <x v="31"/>
          </reference>
        </references>
      </pivotArea>
    </format>
    <format dxfId="408">
      <pivotArea collapsedLevelsAreSubtotals="1" fieldPosition="0">
        <references count="2">
          <reference field="4294967294" count="1" selected="0">
            <x v="0"/>
          </reference>
          <reference field="0" count="1">
            <x v="32"/>
          </reference>
        </references>
      </pivotArea>
    </format>
    <format dxfId="407">
      <pivotArea collapsedLevelsAreSubtotals="1" fieldPosition="0">
        <references count="2">
          <reference field="4294967294" count="1" selected="0">
            <x v="1"/>
          </reference>
          <reference field="0" count="1">
            <x v="32"/>
          </reference>
        </references>
      </pivotArea>
    </format>
    <format dxfId="406">
      <pivotArea collapsedLevelsAreSubtotals="1" fieldPosition="0">
        <references count="2">
          <reference field="4294967294" count="1" selected="0">
            <x v="2"/>
          </reference>
          <reference field="0" count="1">
            <x v="32"/>
          </reference>
        </references>
      </pivotArea>
    </format>
    <format dxfId="405">
      <pivotArea collapsedLevelsAreSubtotals="1" fieldPosition="0">
        <references count="2">
          <reference field="4294967294" count="1" selected="0">
            <x v="3"/>
          </reference>
          <reference field="0" count="1">
            <x v="32"/>
          </reference>
        </references>
      </pivotArea>
    </format>
    <format dxfId="404">
      <pivotArea collapsedLevelsAreSubtotals="1" fieldPosition="0">
        <references count="2">
          <reference field="4294967294" count="1" selected="0">
            <x v="0"/>
          </reference>
          <reference field="0" count="1">
            <x v="33"/>
          </reference>
        </references>
      </pivotArea>
    </format>
    <format dxfId="403">
      <pivotArea collapsedLevelsAreSubtotals="1" fieldPosition="0">
        <references count="2">
          <reference field="4294967294" count="1" selected="0">
            <x v="1"/>
          </reference>
          <reference field="0" count="1">
            <x v="33"/>
          </reference>
        </references>
      </pivotArea>
    </format>
    <format dxfId="402">
      <pivotArea collapsedLevelsAreSubtotals="1" fieldPosition="0">
        <references count="2">
          <reference field="4294967294" count="1" selected="0">
            <x v="2"/>
          </reference>
          <reference field="0" count="1">
            <x v="33"/>
          </reference>
        </references>
      </pivotArea>
    </format>
    <format dxfId="401">
      <pivotArea collapsedLevelsAreSubtotals="1" fieldPosition="0">
        <references count="2">
          <reference field="4294967294" count="1" selected="0">
            <x v="3"/>
          </reference>
          <reference field="0" count="1">
            <x v="33"/>
          </reference>
        </references>
      </pivotArea>
    </format>
    <format dxfId="400">
      <pivotArea collapsedLevelsAreSubtotals="1" fieldPosition="0">
        <references count="2">
          <reference field="4294967294" count="1" selected="0">
            <x v="0"/>
          </reference>
          <reference field="0" count="1">
            <x v="34"/>
          </reference>
        </references>
      </pivotArea>
    </format>
    <format dxfId="399">
      <pivotArea collapsedLevelsAreSubtotals="1" fieldPosition="0">
        <references count="2">
          <reference field="4294967294" count="1" selected="0">
            <x v="1"/>
          </reference>
          <reference field="0" count="1">
            <x v="34"/>
          </reference>
        </references>
      </pivotArea>
    </format>
    <format dxfId="398">
      <pivotArea collapsedLevelsAreSubtotals="1" fieldPosition="0">
        <references count="2">
          <reference field="4294967294" count="1" selected="0">
            <x v="2"/>
          </reference>
          <reference field="0" count="1">
            <x v="34"/>
          </reference>
        </references>
      </pivotArea>
    </format>
    <format dxfId="397">
      <pivotArea collapsedLevelsAreSubtotals="1" fieldPosition="0">
        <references count="2">
          <reference field="4294967294" count="1" selected="0">
            <x v="3"/>
          </reference>
          <reference field="0" count="1">
            <x v="34"/>
          </reference>
        </references>
      </pivotArea>
    </format>
    <format dxfId="396">
      <pivotArea collapsedLevelsAreSubtotals="1" fieldPosition="0">
        <references count="2">
          <reference field="4294967294" count="1" selected="0">
            <x v="0"/>
          </reference>
          <reference field="0" count="1">
            <x v="36"/>
          </reference>
        </references>
      </pivotArea>
    </format>
    <format dxfId="395">
      <pivotArea collapsedLevelsAreSubtotals="1" fieldPosition="0">
        <references count="2">
          <reference field="4294967294" count="1" selected="0">
            <x v="1"/>
          </reference>
          <reference field="0" count="1">
            <x v="36"/>
          </reference>
        </references>
      </pivotArea>
    </format>
    <format dxfId="394">
      <pivotArea collapsedLevelsAreSubtotals="1" fieldPosition="0">
        <references count="2">
          <reference field="4294967294" count="1" selected="0">
            <x v="2"/>
          </reference>
          <reference field="0" count="1">
            <x v="36"/>
          </reference>
        </references>
      </pivotArea>
    </format>
    <format dxfId="393">
      <pivotArea collapsedLevelsAreSubtotals="1" fieldPosition="0">
        <references count="2">
          <reference field="4294967294" count="1" selected="0">
            <x v="3"/>
          </reference>
          <reference field="0" count="1">
            <x v="36"/>
          </reference>
        </references>
      </pivotArea>
    </format>
    <format dxfId="392">
      <pivotArea collapsedLevelsAreSubtotals="1" fieldPosition="0">
        <references count="2">
          <reference field="4294967294" count="1" selected="0">
            <x v="0"/>
          </reference>
          <reference field="0" count="1">
            <x v="38"/>
          </reference>
        </references>
      </pivotArea>
    </format>
    <format dxfId="391">
      <pivotArea collapsedLevelsAreSubtotals="1" fieldPosition="0">
        <references count="2">
          <reference field="4294967294" count="1" selected="0">
            <x v="1"/>
          </reference>
          <reference field="0" count="1">
            <x v="38"/>
          </reference>
        </references>
      </pivotArea>
    </format>
    <format dxfId="390">
      <pivotArea collapsedLevelsAreSubtotals="1" fieldPosition="0">
        <references count="2">
          <reference field="4294967294" count="1" selected="0">
            <x v="2"/>
          </reference>
          <reference field="0" count="1">
            <x v="38"/>
          </reference>
        </references>
      </pivotArea>
    </format>
    <format dxfId="389">
      <pivotArea collapsedLevelsAreSubtotals="1" fieldPosition="0">
        <references count="2">
          <reference field="4294967294" count="1" selected="0">
            <x v="3"/>
          </reference>
          <reference field="0" count="1">
            <x v="38"/>
          </reference>
        </references>
      </pivotArea>
    </format>
    <format dxfId="388">
      <pivotArea collapsedLevelsAreSubtotals="1" fieldPosition="0">
        <references count="2">
          <reference field="4294967294" count="1" selected="0">
            <x v="0"/>
          </reference>
          <reference field="0" count="1">
            <x v="42"/>
          </reference>
        </references>
      </pivotArea>
    </format>
    <format dxfId="387">
      <pivotArea collapsedLevelsAreSubtotals="1" fieldPosition="0">
        <references count="2">
          <reference field="4294967294" count="1" selected="0">
            <x v="1"/>
          </reference>
          <reference field="0" count="1">
            <x v="42"/>
          </reference>
        </references>
      </pivotArea>
    </format>
    <format dxfId="386">
      <pivotArea collapsedLevelsAreSubtotals="1" fieldPosition="0">
        <references count="2">
          <reference field="4294967294" count="1" selected="0">
            <x v="2"/>
          </reference>
          <reference field="0" count="1">
            <x v="42"/>
          </reference>
        </references>
      </pivotArea>
    </format>
    <format dxfId="385">
      <pivotArea collapsedLevelsAreSubtotals="1" fieldPosition="0">
        <references count="2">
          <reference field="4294967294" count="1" selected="0">
            <x v="3"/>
          </reference>
          <reference field="0" count="1">
            <x v="42"/>
          </reference>
        </references>
      </pivotArea>
    </format>
    <format dxfId="384">
      <pivotArea collapsedLevelsAreSubtotals="1" fieldPosition="0">
        <references count="2">
          <reference field="4294967294" count="1" selected="0">
            <x v="0"/>
          </reference>
          <reference field="0" count="1">
            <x v="43"/>
          </reference>
        </references>
      </pivotArea>
    </format>
    <format dxfId="383">
      <pivotArea collapsedLevelsAreSubtotals="1" fieldPosition="0">
        <references count="2">
          <reference field="4294967294" count="1" selected="0">
            <x v="1"/>
          </reference>
          <reference field="0" count="1">
            <x v="43"/>
          </reference>
        </references>
      </pivotArea>
    </format>
    <format dxfId="382">
      <pivotArea collapsedLevelsAreSubtotals="1" fieldPosition="0">
        <references count="2">
          <reference field="4294967294" count="1" selected="0">
            <x v="2"/>
          </reference>
          <reference field="0" count="1">
            <x v="43"/>
          </reference>
        </references>
      </pivotArea>
    </format>
    <format dxfId="381">
      <pivotArea collapsedLevelsAreSubtotals="1" fieldPosition="0">
        <references count="2">
          <reference field="4294967294" count="1" selected="0">
            <x v="3"/>
          </reference>
          <reference field="0" count="1">
            <x v="43"/>
          </reference>
        </references>
      </pivotArea>
    </format>
    <format dxfId="380">
      <pivotArea collapsedLevelsAreSubtotals="1" fieldPosition="0">
        <references count="2">
          <reference field="4294967294" count="1" selected="0">
            <x v="0"/>
          </reference>
          <reference field="0" count="1">
            <x v="50"/>
          </reference>
        </references>
      </pivotArea>
    </format>
    <format dxfId="379">
      <pivotArea collapsedLevelsAreSubtotals="1" fieldPosition="0">
        <references count="2">
          <reference field="4294967294" count="1" selected="0">
            <x v="1"/>
          </reference>
          <reference field="0" count="1">
            <x v="50"/>
          </reference>
        </references>
      </pivotArea>
    </format>
    <format dxfId="378">
      <pivotArea collapsedLevelsAreSubtotals="1" fieldPosition="0">
        <references count="2">
          <reference field="4294967294" count="1" selected="0">
            <x v="2"/>
          </reference>
          <reference field="0" count="1">
            <x v="50"/>
          </reference>
        </references>
      </pivotArea>
    </format>
    <format dxfId="377">
      <pivotArea collapsedLevelsAreSubtotals="1" fieldPosition="0">
        <references count="2">
          <reference field="4294967294" count="1" selected="0">
            <x v="3"/>
          </reference>
          <reference field="0" count="1">
            <x v="50"/>
          </reference>
        </references>
      </pivotArea>
    </format>
    <format dxfId="376">
      <pivotArea collapsedLevelsAreSubtotals="1" fieldPosition="0">
        <references count="2">
          <reference field="4294967294" count="1" selected="0">
            <x v="0"/>
          </reference>
          <reference field="0" count="1">
            <x v="51"/>
          </reference>
        </references>
      </pivotArea>
    </format>
    <format dxfId="375">
      <pivotArea collapsedLevelsAreSubtotals="1" fieldPosition="0">
        <references count="2">
          <reference field="4294967294" count="1" selected="0">
            <x v="1"/>
          </reference>
          <reference field="0" count="1">
            <x v="51"/>
          </reference>
        </references>
      </pivotArea>
    </format>
    <format dxfId="374">
      <pivotArea collapsedLevelsAreSubtotals="1" fieldPosition="0">
        <references count="2">
          <reference field="4294967294" count="1" selected="0">
            <x v="2"/>
          </reference>
          <reference field="0" count="1">
            <x v="51"/>
          </reference>
        </references>
      </pivotArea>
    </format>
    <format dxfId="373">
      <pivotArea collapsedLevelsAreSubtotals="1" fieldPosition="0">
        <references count="2">
          <reference field="4294967294" count="1" selected="0">
            <x v="3"/>
          </reference>
          <reference field="0" count="1">
            <x v="51"/>
          </reference>
        </references>
      </pivotArea>
    </format>
    <format dxfId="372">
      <pivotArea collapsedLevelsAreSubtotals="1" fieldPosition="0">
        <references count="2">
          <reference field="4294967294" count="1" selected="0">
            <x v="0"/>
          </reference>
          <reference field="0" count="1">
            <x v="52"/>
          </reference>
        </references>
      </pivotArea>
    </format>
    <format dxfId="371">
      <pivotArea collapsedLevelsAreSubtotals="1" fieldPosition="0">
        <references count="2">
          <reference field="4294967294" count="1" selected="0">
            <x v="1"/>
          </reference>
          <reference field="0" count="1">
            <x v="52"/>
          </reference>
        </references>
      </pivotArea>
    </format>
    <format dxfId="370">
      <pivotArea collapsedLevelsAreSubtotals="1" fieldPosition="0">
        <references count="2">
          <reference field="4294967294" count="1" selected="0">
            <x v="2"/>
          </reference>
          <reference field="0" count="1">
            <x v="52"/>
          </reference>
        </references>
      </pivotArea>
    </format>
    <format dxfId="369">
      <pivotArea collapsedLevelsAreSubtotals="1" fieldPosition="0">
        <references count="2">
          <reference field="4294967294" count="1" selected="0">
            <x v="3"/>
          </reference>
          <reference field="0" count="1">
            <x v="52"/>
          </reference>
        </references>
      </pivotArea>
    </format>
    <format dxfId="368">
      <pivotArea collapsedLevelsAreSubtotals="1" fieldPosition="0">
        <references count="2">
          <reference field="4294967294" count="1" selected="0">
            <x v="0"/>
          </reference>
          <reference field="0" count="1">
            <x v="54"/>
          </reference>
        </references>
      </pivotArea>
    </format>
    <format dxfId="367">
      <pivotArea collapsedLevelsAreSubtotals="1" fieldPosition="0">
        <references count="2">
          <reference field="4294967294" count="1" selected="0">
            <x v="1"/>
          </reference>
          <reference field="0" count="1">
            <x v="54"/>
          </reference>
        </references>
      </pivotArea>
    </format>
    <format dxfId="366">
      <pivotArea collapsedLevelsAreSubtotals="1" fieldPosition="0">
        <references count="2">
          <reference field="4294967294" count="1" selected="0">
            <x v="2"/>
          </reference>
          <reference field="0" count="1">
            <x v="54"/>
          </reference>
        </references>
      </pivotArea>
    </format>
    <format dxfId="365">
      <pivotArea collapsedLevelsAreSubtotals="1" fieldPosition="0">
        <references count="2">
          <reference field="4294967294" count="1" selected="0">
            <x v="3"/>
          </reference>
          <reference field="0" count="1">
            <x v="54"/>
          </reference>
        </references>
      </pivotArea>
    </format>
    <format dxfId="364">
      <pivotArea collapsedLevelsAreSubtotals="1" fieldPosition="0">
        <references count="2">
          <reference field="4294967294" count="1" selected="0">
            <x v="0"/>
          </reference>
          <reference field="0" count="1">
            <x v="57"/>
          </reference>
        </references>
      </pivotArea>
    </format>
    <format dxfId="363">
      <pivotArea collapsedLevelsAreSubtotals="1" fieldPosition="0">
        <references count="2">
          <reference field="4294967294" count="1" selected="0">
            <x v="1"/>
          </reference>
          <reference field="0" count="1">
            <x v="57"/>
          </reference>
        </references>
      </pivotArea>
    </format>
    <format dxfId="362">
      <pivotArea collapsedLevelsAreSubtotals="1" fieldPosition="0">
        <references count="2">
          <reference field="4294967294" count="1" selected="0">
            <x v="2"/>
          </reference>
          <reference field="0" count="1">
            <x v="57"/>
          </reference>
        </references>
      </pivotArea>
    </format>
    <format dxfId="361">
      <pivotArea collapsedLevelsAreSubtotals="1" fieldPosition="0">
        <references count="2">
          <reference field="4294967294" count="1" selected="0">
            <x v="3"/>
          </reference>
          <reference field="0" count="1">
            <x v="57"/>
          </reference>
        </references>
      </pivotArea>
    </format>
    <format dxfId="360">
      <pivotArea collapsedLevelsAreSubtotals="1" fieldPosition="0">
        <references count="2">
          <reference field="4294967294" count="1" selected="0">
            <x v="0"/>
          </reference>
          <reference field="0" count="1">
            <x v="63"/>
          </reference>
        </references>
      </pivotArea>
    </format>
    <format dxfId="359">
      <pivotArea collapsedLevelsAreSubtotals="1" fieldPosition="0">
        <references count="2">
          <reference field="4294967294" count="1" selected="0">
            <x v="1"/>
          </reference>
          <reference field="0" count="1">
            <x v="63"/>
          </reference>
        </references>
      </pivotArea>
    </format>
    <format dxfId="358">
      <pivotArea collapsedLevelsAreSubtotals="1" fieldPosition="0">
        <references count="2">
          <reference field="4294967294" count="1" selected="0">
            <x v="2"/>
          </reference>
          <reference field="0" count="1">
            <x v="63"/>
          </reference>
        </references>
      </pivotArea>
    </format>
    <format dxfId="357">
      <pivotArea collapsedLevelsAreSubtotals="1" fieldPosition="0">
        <references count="2">
          <reference field="4294967294" count="1" selected="0">
            <x v="3"/>
          </reference>
          <reference field="0" count="1">
            <x v="63"/>
          </reference>
        </references>
      </pivotArea>
    </format>
    <format dxfId="356">
      <pivotArea collapsedLevelsAreSubtotals="1" fieldPosition="0">
        <references count="2">
          <reference field="4294967294" count="1" selected="0">
            <x v="0"/>
          </reference>
          <reference field="0" count="1">
            <x v="65"/>
          </reference>
        </references>
      </pivotArea>
    </format>
    <format dxfId="355">
      <pivotArea collapsedLevelsAreSubtotals="1" fieldPosition="0">
        <references count="2">
          <reference field="4294967294" count="1" selected="0">
            <x v="1"/>
          </reference>
          <reference field="0" count="1">
            <x v="65"/>
          </reference>
        </references>
      </pivotArea>
    </format>
    <format dxfId="354">
      <pivotArea collapsedLevelsAreSubtotals="1" fieldPosition="0">
        <references count="2">
          <reference field="4294967294" count="1" selected="0">
            <x v="2"/>
          </reference>
          <reference field="0" count="1">
            <x v="65"/>
          </reference>
        </references>
      </pivotArea>
    </format>
    <format dxfId="353">
      <pivotArea collapsedLevelsAreSubtotals="1" fieldPosition="0">
        <references count="2">
          <reference field="4294967294" count="1" selected="0">
            <x v="3"/>
          </reference>
          <reference field="0" count="1">
            <x v="65"/>
          </reference>
        </references>
      </pivotArea>
    </format>
    <format dxfId="352">
      <pivotArea collapsedLevelsAreSubtotals="1" fieldPosition="0">
        <references count="2">
          <reference field="4294967294" count="1" selected="0">
            <x v="0"/>
          </reference>
          <reference field="0" count="1">
            <x v="66"/>
          </reference>
        </references>
      </pivotArea>
    </format>
    <format dxfId="351">
      <pivotArea collapsedLevelsAreSubtotals="1" fieldPosition="0">
        <references count="2">
          <reference field="4294967294" count="1" selected="0">
            <x v="1"/>
          </reference>
          <reference field="0" count="1">
            <x v="66"/>
          </reference>
        </references>
      </pivotArea>
    </format>
    <format dxfId="350">
      <pivotArea collapsedLevelsAreSubtotals="1" fieldPosition="0">
        <references count="2">
          <reference field="4294967294" count="1" selected="0">
            <x v="2"/>
          </reference>
          <reference field="0" count="1">
            <x v="66"/>
          </reference>
        </references>
      </pivotArea>
    </format>
    <format dxfId="349">
      <pivotArea collapsedLevelsAreSubtotals="1" fieldPosition="0">
        <references count="2">
          <reference field="4294967294" count="1" selected="0">
            <x v="3"/>
          </reference>
          <reference field="0" count="1">
            <x v="66"/>
          </reference>
        </references>
      </pivotArea>
    </format>
    <format dxfId="34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2" count="1">
            <x v="1"/>
          </reference>
        </references>
      </pivotArea>
    </format>
    <format dxfId="34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2" count="1">
            <x v="1"/>
          </reference>
        </references>
      </pivotArea>
    </format>
    <format dxfId="34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7"/>
          </reference>
          <reference field="2" count="1">
            <x v="1"/>
          </reference>
        </references>
      </pivotArea>
    </format>
    <format dxfId="34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7"/>
          </reference>
          <reference field="2" count="1">
            <x v="1"/>
          </reference>
        </references>
      </pivotArea>
    </format>
    <format dxfId="34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2" count="1">
            <x v="3"/>
          </reference>
        </references>
      </pivotArea>
    </format>
    <format dxfId="343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3"/>
          </reference>
          <reference field="2" count="1">
            <x v="3"/>
          </reference>
        </references>
      </pivotArea>
    </format>
    <format dxfId="342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3"/>
          </reference>
          <reference field="2" count="1">
            <x v="3"/>
          </reference>
        </references>
      </pivotArea>
    </format>
    <format dxfId="341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13"/>
          </reference>
          <reference field="2" count="1">
            <x v="3"/>
          </reference>
        </references>
      </pivotArea>
    </format>
    <format dxfId="34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2" count="1">
            <x v="0"/>
          </reference>
        </references>
      </pivotArea>
    </format>
    <format dxfId="339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2"/>
          </reference>
          <reference field="2" count="1">
            <x v="0"/>
          </reference>
        </references>
      </pivotArea>
    </format>
    <format dxfId="338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2"/>
          </reference>
          <reference field="2" count="1">
            <x v="0"/>
          </reference>
        </references>
      </pivotArea>
    </format>
    <format dxfId="337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2"/>
          </reference>
          <reference field="2" count="1">
            <x v="0"/>
          </reference>
        </references>
      </pivotArea>
    </format>
    <format dxfId="33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5"/>
          </reference>
          <reference field="2" count="1">
            <x v="0"/>
          </reference>
        </references>
      </pivotArea>
    </format>
    <format dxfId="335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5"/>
          </reference>
          <reference field="2" count="1">
            <x v="0"/>
          </reference>
        </references>
      </pivotArea>
    </format>
    <format dxfId="334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5"/>
          </reference>
          <reference field="2" count="1">
            <x v="0"/>
          </reference>
        </references>
      </pivotArea>
    </format>
    <format dxfId="333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5"/>
          </reference>
          <reference field="2" count="1">
            <x v="0"/>
          </reference>
        </references>
      </pivotArea>
    </format>
    <format dxfId="332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8"/>
          </reference>
          <reference field="2" count="1">
            <x v="3"/>
          </reference>
        </references>
      </pivotArea>
    </format>
    <format dxfId="331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8"/>
          </reference>
          <reference field="2" count="1">
            <x v="3"/>
          </reference>
        </references>
      </pivotArea>
    </format>
    <format dxfId="330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8"/>
          </reference>
          <reference field="2" count="1">
            <x v="3"/>
          </reference>
        </references>
      </pivotArea>
    </format>
    <format dxfId="329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28"/>
          </reference>
          <reference field="2" count="1">
            <x v="3"/>
          </reference>
        </references>
      </pivotArea>
    </format>
    <format dxfId="32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30"/>
          </reference>
          <reference field="2" count="1">
            <x v="3"/>
          </reference>
        </references>
      </pivotArea>
    </format>
    <format dxfId="32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30"/>
          </reference>
          <reference field="2" count="1">
            <x v="3"/>
          </reference>
        </references>
      </pivotArea>
    </format>
    <format dxfId="32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30"/>
          </reference>
          <reference field="2" count="1">
            <x v="3"/>
          </reference>
        </references>
      </pivotArea>
    </format>
    <format dxfId="32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30"/>
          </reference>
          <reference field="2" count="1">
            <x v="3"/>
          </reference>
        </references>
      </pivotArea>
    </format>
    <format dxfId="32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40"/>
          </reference>
          <reference field="2" count="1">
            <x v="3"/>
          </reference>
        </references>
      </pivotArea>
    </format>
    <format dxfId="323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40"/>
          </reference>
          <reference field="2" count="1">
            <x v="3"/>
          </reference>
        </references>
      </pivotArea>
    </format>
    <format dxfId="322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40"/>
          </reference>
          <reference field="2" count="1">
            <x v="3"/>
          </reference>
        </references>
      </pivotArea>
    </format>
    <format dxfId="321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40"/>
          </reference>
          <reference field="2" count="1">
            <x v="3"/>
          </reference>
        </references>
      </pivotArea>
    </format>
    <format dxfId="32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41"/>
          </reference>
          <reference field="2" count="1">
            <x v="0"/>
          </reference>
        </references>
      </pivotArea>
    </format>
    <format dxfId="319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41"/>
          </reference>
          <reference field="2" count="1">
            <x v="0"/>
          </reference>
        </references>
      </pivotArea>
    </format>
    <format dxfId="318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41"/>
          </reference>
          <reference field="2" count="1">
            <x v="0"/>
          </reference>
        </references>
      </pivotArea>
    </format>
    <format dxfId="317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41"/>
          </reference>
          <reference field="2" count="1">
            <x v="0"/>
          </reference>
        </references>
      </pivotArea>
    </format>
    <format dxfId="31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44"/>
          </reference>
          <reference field="2" count="1">
            <x v="0"/>
          </reference>
        </references>
      </pivotArea>
    </format>
    <format dxfId="315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44"/>
          </reference>
          <reference field="2" count="1">
            <x v="0"/>
          </reference>
        </references>
      </pivotArea>
    </format>
    <format dxfId="314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44"/>
          </reference>
          <reference field="2" count="1">
            <x v="0"/>
          </reference>
        </references>
      </pivotArea>
    </format>
    <format dxfId="313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44"/>
          </reference>
          <reference field="2" count="1">
            <x v="0"/>
          </reference>
        </references>
      </pivotArea>
    </format>
    <format dxfId="312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47"/>
          </reference>
          <reference field="2" count="1">
            <x v="3"/>
          </reference>
        </references>
      </pivotArea>
    </format>
    <format dxfId="311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47"/>
          </reference>
          <reference field="2" count="1">
            <x v="3"/>
          </reference>
        </references>
      </pivotArea>
    </format>
    <format dxfId="310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47"/>
          </reference>
          <reference field="2" count="1">
            <x v="3"/>
          </reference>
        </references>
      </pivotArea>
    </format>
    <format dxfId="309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47"/>
          </reference>
          <reference field="2" count="1">
            <x v="3"/>
          </reference>
        </references>
      </pivotArea>
    </format>
    <format dxfId="30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49"/>
          </reference>
          <reference field="2" count="1">
            <x v="3"/>
          </reference>
        </references>
      </pivotArea>
    </format>
    <format dxfId="30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49"/>
          </reference>
          <reference field="2" count="1">
            <x v="3"/>
          </reference>
        </references>
      </pivotArea>
    </format>
    <format dxfId="30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49"/>
          </reference>
          <reference field="2" count="1">
            <x v="3"/>
          </reference>
        </references>
      </pivotArea>
    </format>
    <format dxfId="305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49"/>
          </reference>
          <reference field="2" count="1">
            <x v="3"/>
          </reference>
        </references>
      </pivotArea>
    </format>
    <format dxfId="30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53"/>
          </reference>
          <reference field="2" count="1">
            <x v="3"/>
          </reference>
        </references>
      </pivotArea>
    </format>
    <format dxfId="303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53"/>
          </reference>
          <reference field="2" count="1">
            <x v="3"/>
          </reference>
        </references>
      </pivotArea>
    </format>
    <format dxfId="302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53"/>
          </reference>
          <reference field="2" count="1">
            <x v="3"/>
          </reference>
        </references>
      </pivotArea>
    </format>
    <format dxfId="301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53"/>
          </reference>
          <reference field="2" count="1">
            <x v="3"/>
          </reference>
        </references>
      </pivotArea>
    </format>
    <format dxfId="30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55"/>
          </reference>
          <reference field="2" count="1">
            <x v="0"/>
          </reference>
        </references>
      </pivotArea>
    </format>
    <format dxfId="299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55"/>
          </reference>
          <reference field="2" count="1">
            <x v="0"/>
          </reference>
        </references>
      </pivotArea>
    </format>
    <format dxfId="298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55"/>
          </reference>
          <reference field="2" count="1">
            <x v="0"/>
          </reference>
        </references>
      </pivotArea>
    </format>
    <format dxfId="297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55"/>
          </reference>
          <reference field="2" count="1">
            <x v="0"/>
          </reference>
        </references>
      </pivotArea>
    </format>
    <format dxfId="29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68"/>
          </reference>
          <reference field="2" count="1">
            <x v="3"/>
          </reference>
        </references>
      </pivotArea>
    </format>
    <format dxfId="295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68"/>
          </reference>
          <reference field="2" count="1">
            <x v="3"/>
          </reference>
        </references>
      </pivotArea>
    </format>
    <format dxfId="294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68"/>
          </reference>
          <reference field="2" count="1">
            <x v="3"/>
          </reference>
        </references>
      </pivotArea>
    </format>
    <format dxfId="293">
      <pivotArea collapsedLevelsAreSubtotals="1" fieldPosition="0">
        <references count="3">
          <reference field="4294967294" count="1" selected="0">
            <x v="3"/>
          </reference>
          <reference field="0" count="1" selected="0">
            <x v="68"/>
          </reference>
          <reference field="2" count="1">
            <x v="3"/>
          </reference>
        </references>
      </pivotArea>
    </format>
    <format dxfId="292">
      <pivotArea collapsedLevelsAreSubtotals="1" fieldPosition="0">
        <references count="2">
          <reference field="4294967294" count="1" selected="0">
            <x v="0"/>
          </reference>
          <reference field="0" count="1">
            <x v="7"/>
          </reference>
        </references>
      </pivotArea>
    </format>
    <format dxfId="291">
      <pivotArea collapsedLevelsAreSubtotals="1" fieldPosition="0">
        <references count="2">
          <reference field="4294967294" count="1" selected="0">
            <x v="1"/>
          </reference>
          <reference field="0" count="1">
            <x v="7"/>
          </reference>
        </references>
      </pivotArea>
    </format>
    <format dxfId="290">
      <pivotArea collapsedLevelsAreSubtotals="1" fieldPosition="0">
        <references count="2">
          <reference field="4294967294" count="1" selected="0">
            <x v="2"/>
          </reference>
          <reference field="0" count="1">
            <x v="7"/>
          </reference>
        </references>
      </pivotArea>
    </format>
    <format dxfId="289">
      <pivotArea collapsedLevelsAreSubtotals="1" fieldPosition="0">
        <references count="2">
          <reference field="4294967294" count="1" selected="0">
            <x v="3"/>
          </reference>
          <reference field="0" count="1">
            <x v="7"/>
          </reference>
        </references>
      </pivotArea>
    </format>
    <format dxfId="288">
      <pivotArea collapsedLevelsAreSubtotals="1" fieldPosition="0">
        <references count="2">
          <reference field="4294967294" count="1" selected="0">
            <x v="0"/>
          </reference>
          <reference field="0" count="1">
            <x v="27"/>
          </reference>
        </references>
      </pivotArea>
    </format>
    <format dxfId="287">
      <pivotArea collapsedLevelsAreSubtotals="1" fieldPosition="0">
        <references count="2">
          <reference field="4294967294" count="1" selected="0">
            <x v="1"/>
          </reference>
          <reference field="0" count="1">
            <x v="27"/>
          </reference>
        </references>
      </pivotArea>
    </format>
    <format dxfId="286">
      <pivotArea collapsedLevelsAreSubtotals="1" fieldPosition="0">
        <references count="2">
          <reference field="4294967294" count="1" selected="0">
            <x v="2"/>
          </reference>
          <reference field="0" count="1">
            <x v="27"/>
          </reference>
        </references>
      </pivotArea>
    </format>
    <format dxfId="285">
      <pivotArea collapsedLevelsAreSubtotals="1" fieldPosition="0">
        <references count="2">
          <reference field="4294967294" count="1" selected="0">
            <x v="3"/>
          </reference>
          <reference field="0" count="1">
            <x v="27"/>
          </reference>
        </references>
      </pivotArea>
    </format>
    <format dxfId="284">
      <pivotArea collapsedLevelsAreSubtotals="1" fieldPosition="0">
        <references count="2">
          <reference field="4294967294" count="1" selected="0">
            <x v="0"/>
          </reference>
          <reference field="0" count="1">
            <x v="46"/>
          </reference>
        </references>
      </pivotArea>
    </format>
    <format dxfId="283">
      <pivotArea collapsedLevelsAreSubtotals="1" fieldPosition="0">
        <references count="2">
          <reference field="4294967294" count="1" selected="0">
            <x v="1"/>
          </reference>
          <reference field="0" count="1">
            <x v="46"/>
          </reference>
        </references>
      </pivotArea>
    </format>
    <format dxfId="282">
      <pivotArea collapsedLevelsAreSubtotals="1" fieldPosition="0">
        <references count="2">
          <reference field="4294967294" count="1" selected="0">
            <x v="2"/>
          </reference>
          <reference field="0" count="1">
            <x v="46"/>
          </reference>
        </references>
      </pivotArea>
    </format>
    <format dxfId="281">
      <pivotArea collapsedLevelsAreSubtotals="1" fieldPosition="0">
        <references count="2">
          <reference field="4294967294" count="1" selected="0">
            <x v="3"/>
          </reference>
          <reference field="0" count="1">
            <x v="46"/>
          </reference>
        </references>
      </pivotArea>
    </format>
    <format dxfId="280">
      <pivotArea collapsedLevelsAreSubtotals="1" fieldPosition="0">
        <references count="2">
          <reference field="4294967294" count="1" selected="0">
            <x v="0"/>
          </reference>
          <reference field="0" count="1">
            <x v="59"/>
          </reference>
        </references>
      </pivotArea>
    </format>
    <format dxfId="279">
      <pivotArea collapsedLevelsAreSubtotals="1" fieldPosition="0">
        <references count="2">
          <reference field="4294967294" count="1" selected="0">
            <x v="1"/>
          </reference>
          <reference field="0" count="1">
            <x v="59"/>
          </reference>
        </references>
      </pivotArea>
    </format>
    <format dxfId="278">
      <pivotArea collapsedLevelsAreSubtotals="1" fieldPosition="0">
        <references count="2">
          <reference field="4294967294" count="1" selected="0">
            <x v="2"/>
          </reference>
          <reference field="0" count="1">
            <x v="59"/>
          </reference>
        </references>
      </pivotArea>
    </format>
    <format dxfId="277">
      <pivotArea collapsedLevelsAreSubtotals="1" fieldPosition="0">
        <references count="2">
          <reference field="4294967294" count="1" selected="0">
            <x v="3"/>
          </reference>
          <reference field="0" count="1">
            <x v="59"/>
          </reference>
        </references>
      </pivotArea>
    </format>
    <format dxfId="276">
      <pivotArea collapsedLevelsAreSubtotals="1" fieldPosition="0">
        <references count="2">
          <reference field="4294967294" count="1" selected="0">
            <x v="0"/>
          </reference>
          <reference field="0" count="1">
            <x v="9"/>
          </reference>
        </references>
      </pivotArea>
    </format>
    <format dxfId="275">
      <pivotArea collapsedLevelsAreSubtotals="1" fieldPosition="0">
        <references count="2">
          <reference field="4294967294" count="1" selected="0">
            <x v="1"/>
          </reference>
          <reference field="0" count="1">
            <x v="9"/>
          </reference>
        </references>
      </pivotArea>
    </format>
    <format dxfId="274">
      <pivotArea collapsedLevelsAreSubtotals="1" fieldPosition="0">
        <references count="2">
          <reference field="4294967294" count="1" selected="0">
            <x v="2"/>
          </reference>
          <reference field="0" count="1">
            <x v="9"/>
          </reference>
        </references>
      </pivotArea>
    </format>
    <format dxfId="273">
      <pivotArea collapsedLevelsAreSubtotals="1" fieldPosition="0">
        <references count="2">
          <reference field="4294967294" count="1" selected="0">
            <x v="3"/>
          </reference>
          <reference field="0" count="1">
            <x v="9"/>
          </reference>
        </references>
      </pivotArea>
    </format>
    <format dxfId="272">
      <pivotArea collapsedLevelsAreSubtotals="1" fieldPosition="0">
        <references count="2">
          <reference field="4294967294" count="1" selected="0">
            <x v="0"/>
          </reference>
          <reference field="0" count="1">
            <x v="15"/>
          </reference>
        </references>
      </pivotArea>
    </format>
    <format dxfId="271">
      <pivotArea collapsedLevelsAreSubtotals="1" fieldPosition="0">
        <references count="2">
          <reference field="4294967294" count="1" selected="0">
            <x v="1"/>
          </reference>
          <reference field="0" count="1">
            <x v="15"/>
          </reference>
        </references>
      </pivotArea>
    </format>
    <format dxfId="270">
      <pivotArea collapsedLevelsAreSubtotals="1" fieldPosition="0">
        <references count="2">
          <reference field="4294967294" count="1" selected="0">
            <x v="2"/>
          </reference>
          <reference field="0" count="1">
            <x v="15"/>
          </reference>
        </references>
      </pivotArea>
    </format>
    <format dxfId="269">
      <pivotArea collapsedLevelsAreSubtotals="1" fieldPosition="0">
        <references count="2">
          <reference field="4294967294" count="1" selected="0">
            <x v="3"/>
          </reference>
          <reference field="0" count="1">
            <x v="15"/>
          </reference>
        </references>
      </pivotArea>
    </format>
    <format dxfId="268">
      <pivotArea collapsedLevelsAreSubtotals="1" fieldPosition="0">
        <references count="2">
          <reference field="4294967294" count="1" selected="0">
            <x v="0"/>
          </reference>
          <reference field="0" count="1">
            <x v="29"/>
          </reference>
        </references>
      </pivotArea>
    </format>
    <format dxfId="267">
      <pivotArea collapsedLevelsAreSubtotals="1" fieldPosition="0">
        <references count="2">
          <reference field="4294967294" count="1" selected="0">
            <x v="1"/>
          </reference>
          <reference field="0" count="1">
            <x v="29"/>
          </reference>
        </references>
      </pivotArea>
    </format>
    <format dxfId="266">
      <pivotArea collapsedLevelsAreSubtotals="1" fieldPosition="0">
        <references count="2">
          <reference field="4294967294" count="1" selected="0">
            <x v="2"/>
          </reference>
          <reference field="0" count="1">
            <x v="29"/>
          </reference>
        </references>
      </pivotArea>
    </format>
    <format dxfId="265">
      <pivotArea collapsedLevelsAreSubtotals="1" fieldPosition="0">
        <references count="2">
          <reference field="4294967294" count="1" selected="0">
            <x v="3"/>
          </reference>
          <reference field="0" count="1">
            <x v="29"/>
          </reference>
        </references>
      </pivotArea>
    </format>
    <format dxfId="264">
      <pivotArea collapsedLevelsAreSubtotals="1" fieldPosition="0">
        <references count="2">
          <reference field="4294967294" count="1" selected="0">
            <x v="0"/>
          </reference>
          <reference field="0" count="1">
            <x v="37"/>
          </reference>
        </references>
      </pivotArea>
    </format>
    <format dxfId="263">
      <pivotArea collapsedLevelsAreSubtotals="1" fieldPosition="0">
        <references count="2">
          <reference field="4294967294" count="1" selected="0">
            <x v="1"/>
          </reference>
          <reference field="0" count="1">
            <x v="37"/>
          </reference>
        </references>
      </pivotArea>
    </format>
    <format dxfId="262">
      <pivotArea collapsedLevelsAreSubtotals="1" fieldPosition="0">
        <references count="2">
          <reference field="4294967294" count="1" selected="0">
            <x v="2"/>
          </reference>
          <reference field="0" count="1">
            <x v="37"/>
          </reference>
        </references>
      </pivotArea>
    </format>
    <format dxfId="261">
      <pivotArea collapsedLevelsAreSubtotals="1" fieldPosition="0">
        <references count="2">
          <reference field="4294967294" count="1" selected="0">
            <x v="3"/>
          </reference>
          <reference field="0" count="1">
            <x v="37"/>
          </reference>
        </references>
      </pivotArea>
    </format>
    <format dxfId="260">
      <pivotArea collapsedLevelsAreSubtotals="1" fieldPosition="0">
        <references count="2">
          <reference field="4294967294" count="1" selected="0">
            <x v="0"/>
          </reference>
          <reference field="0" count="1">
            <x v="39"/>
          </reference>
        </references>
      </pivotArea>
    </format>
    <format dxfId="259">
      <pivotArea collapsedLevelsAreSubtotals="1" fieldPosition="0">
        <references count="2">
          <reference field="4294967294" count="1" selected="0">
            <x v="1"/>
          </reference>
          <reference field="0" count="1">
            <x v="39"/>
          </reference>
        </references>
      </pivotArea>
    </format>
    <format dxfId="258">
      <pivotArea collapsedLevelsAreSubtotals="1" fieldPosition="0">
        <references count="2">
          <reference field="4294967294" count="1" selected="0">
            <x v="2"/>
          </reference>
          <reference field="0" count="1">
            <x v="39"/>
          </reference>
        </references>
      </pivotArea>
    </format>
    <format dxfId="257">
      <pivotArea collapsedLevelsAreSubtotals="1" fieldPosition="0">
        <references count="2">
          <reference field="4294967294" count="1" selected="0">
            <x v="3"/>
          </reference>
          <reference field="0" count="1">
            <x v="39"/>
          </reference>
        </references>
      </pivotArea>
    </format>
    <format dxfId="256">
      <pivotArea collapsedLevelsAreSubtotals="1" fieldPosition="0">
        <references count="2">
          <reference field="4294967294" count="1" selected="0">
            <x v="0"/>
          </reference>
          <reference field="0" count="1">
            <x v="56"/>
          </reference>
        </references>
      </pivotArea>
    </format>
    <format dxfId="255">
      <pivotArea collapsedLevelsAreSubtotals="1" fieldPosition="0">
        <references count="2">
          <reference field="4294967294" count="1" selected="0">
            <x v="1"/>
          </reference>
          <reference field="0" count="1">
            <x v="56"/>
          </reference>
        </references>
      </pivotArea>
    </format>
    <format dxfId="254">
      <pivotArea collapsedLevelsAreSubtotals="1" fieldPosition="0">
        <references count="2">
          <reference field="4294967294" count="1" selected="0">
            <x v="2"/>
          </reference>
          <reference field="0" count="1">
            <x v="56"/>
          </reference>
        </references>
      </pivotArea>
    </format>
    <format dxfId="253">
      <pivotArea collapsedLevelsAreSubtotals="1" fieldPosition="0">
        <references count="2">
          <reference field="4294967294" count="1" selected="0">
            <x v="3"/>
          </reference>
          <reference field="0" count="1">
            <x v="56"/>
          </reference>
        </references>
      </pivotArea>
    </format>
    <format dxfId="252">
      <pivotArea collapsedLevelsAreSubtotals="1" fieldPosition="0">
        <references count="2">
          <reference field="4294967294" count="1" selected="0">
            <x v="0"/>
          </reference>
          <reference field="0" count="1">
            <x v="61"/>
          </reference>
        </references>
      </pivotArea>
    </format>
    <format dxfId="251">
      <pivotArea collapsedLevelsAreSubtotals="1" fieldPosition="0">
        <references count="2">
          <reference field="4294967294" count="1" selected="0">
            <x v="1"/>
          </reference>
          <reference field="0" count="1">
            <x v="61"/>
          </reference>
        </references>
      </pivotArea>
    </format>
    <format dxfId="250">
      <pivotArea collapsedLevelsAreSubtotals="1" fieldPosition="0">
        <references count="2">
          <reference field="4294967294" count="1" selected="0">
            <x v="2"/>
          </reference>
          <reference field="0" count="1">
            <x v="61"/>
          </reference>
        </references>
      </pivotArea>
    </format>
    <format dxfId="249">
      <pivotArea collapsedLevelsAreSubtotals="1" fieldPosition="0">
        <references count="2">
          <reference field="4294967294" count="1" selected="0">
            <x v="3"/>
          </reference>
          <reference field="0" count="1">
            <x v="61"/>
          </reference>
        </references>
      </pivotArea>
    </format>
    <format dxfId="248">
      <pivotArea collapsedLevelsAreSubtotals="1" fieldPosition="0">
        <references count="2">
          <reference field="4294967294" count="1" selected="0">
            <x v="0"/>
          </reference>
          <reference field="0" count="1">
            <x v="69"/>
          </reference>
        </references>
      </pivotArea>
    </format>
    <format dxfId="247">
      <pivotArea collapsedLevelsAreSubtotals="1" fieldPosition="0">
        <references count="2">
          <reference field="4294967294" count="1" selected="0">
            <x v="1"/>
          </reference>
          <reference field="0" count="1">
            <x v="69"/>
          </reference>
        </references>
      </pivotArea>
    </format>
    <format dxfId="246">
      <pivotArea collapsedLevelsAreSubtotals="1" fieldPosition="0">
        <references count="2">
          <reference field="4294967294" count="1" selected="0">
            <x v="2"/>
          </reference>
          <reference field="0" count="1">
            <x v="69"/>
          </reference>
        </references>
      </pivotArea>
    </format>
    <format dxfId="245">
      <pivotArea collapsedLevelsAreSubtotals="1" fieldPosition="0">
        <references count="2">
          <reference field="4294967294" count="1" selected="0">
            <x v="3"/>
          </reference>
          <reference field="0" count="1">
            <x v="69"/>
          </reference>
        </references>
      </pivotArea>
    </format>
    <format dxfId="244">
      <pivotArea collapsedLevelsAreSubtotals="1" fieldPosition="0">
        <references count="2">
          <reference field="4294967294" count="1" selected="0">
            <x v="0"/>
          </reference>
          <reference field="0" count="1">
            <x v="2"/>
          </reference>
        </references>
      </pivotArea>
    </format>
    <format dxfId="243">
      <pivotArea collapsedLevelsAreSubtotals="1" fieldPosition="0">
        <references count="2">
          <reference field="4294967294" count="1" selected="0">
            <x v="1"/>
          </reference>
          <reference field="0" count="1">
            <x v="2"/>
          </reference>
        </references>
      </pivotArea>
    </format>
    <format dxfId="242">
      <pivotArea collapsedLevelsAreSubtotals="1" fieldPosition="0">
        <references count="2">
          <reference field="4294967294" count="1" selected="0">
            <x v="2"/>
          </reference>
          <reference field="0" count="1">
            <x v="2"/>
          </reference>
        </references>
      </pivotArea>
    </format>
    <format dxfId="241">
      <pivotArea collapsedLevelsAreSubtotals="1" fieldPosition="0">
        <references count="2">
          <reference field="4294967294" count="1" selected="0">
            <x v="3"/>
          </reference>
          <reference field="0" count="1">
            <x v="2"/>
          </reference>
        </references>
      </pivotArea>
    </format>
    <format dxfId="240">
      <pivotArea collapsedLevelsAreSubtotals="1" fieldPosition="0">
        <references count="2">
          <reference field="4294967294" count="1" selected="0">
            <x v="0"/>
          </reference>
          <reference field="0" count="1">
            <x v="6"/>
          </reference>
        </references>
      </pivotArea>
    </format>
    <format dxfId="239">
      <pivotArea collapsedLevelsAreSubtotals="1" fieldPosition="0">
        <references count="2">
          <reference field="4294967294" count="1" selected="0">
            <x v="1"/>
          </reference>
          <reference field="0" count="1">
            <x v="6"/>
          </reference>
        </references>
      </pivotArea>
    </format>
    <format dxfId="238">
      <pivotArea collapsedLevelsAreSubtotals="1" fieldPosition="0">
        <references count="2">
          <reference field="4294967294" count="1" selected="0">
            <x v="2"/>
          </reference>
          <reference field="0" count="1">
            <x v="6"/>
          </reference>
        </references>
      </pivotArea>
    </format>
    <format dxfId="237">
      <pivotArea collapsedLevelsAreSubtotals="1" fieldPosition="0">
        <references count="2">
          <reference field="4294967294" count="1" selected="0">
            <x v="3"/>
          </reference>
          <reference field="0" count="1">
            <x v="6"/>
          </reference>
        </references>
      </pivotArea>
    </format>
    <format dxfId="236">
      <pivotArea collapsedLevelsAreSubtotals="1" fieldPosition="0">
        <references count="2">
          <reference field="4294967294" count="1" selected="0">
            <x v="2"/>
          </reference>
          <reference field="0" count="1">
            <x v="20"/>
          </reference>
        </references>
      </pivotArea>
    </format>
    <format dxfId="235">
      <pivotArea collapsedLevelsAreSubtotals="1" fieldPosition="0">
        <references count="2">
          <reference field="4294967294" count="1" selected="0">
            <x v="3"/>
          </reference>
          <reference field="0" count="1">
            <x v="20"/>
          </reference>
        </references>
      </pivotArea>
    </format>
    <format dxfId="234">
      <pivotArea collapsedLevelsAreSubtotals="1" fieldPosition="0">
        <references count="2">
          <reference field="4294967294" count="1" selected="0">
            <x v="0"/>
          </reference>
          <reference field="0" count="1">
            <x v="45"/>
          </reference>
        </references>
      </pivotArea>
    </format>
    <format dxfId="233">
      <pivotArea collapsedLevelsAreSubtotals="1" fieldPosition="0">
        <references count="2">
          <reference field="4294967294" count="1" selected="0">
            <x v="1"/>
          </reference>
          <reference field="0" count="1">
            <x v="45"/>
          </reference>
        </references>
      </pivotArea>
    </format>
    <format dxfId="232">
      <pivotArea collapsedLevelsAreSubtotals="1" fieldPosition="0">
        <references count="2">
          <reference field="4294967294" count="1" selected="0">
            <x v="2"/>
          </reference>
          <reference field="0" count="1">
            <x v="45"/>
          </reference>
        </references>
      </pivotArea>
    </format>
    <format dxfId="231">
      <pivotArea collapsedLevelsAreSubtotals="1" fieldPosition="0">
        <references count="2">
          <reference field="4294967294" count="1" selected="0">
            <x v="3"/>
          </reference>
          <reference field="0" count="1">
            <x v="45"/>
          </reference>
        </references>
      </pivotArea>
    </format>
    <format dxfId="230">
      <pivotArea collapsedLevelsAreSubtotals="1" fieldPosition="0">
        <references count="2">
          <reference field="4294967294" count="1" selected="0">
            <x v="0"/>
          </reference>
          <reference field="0" count="1">
            <x v="48"/>
          </reference>
        </references>
      </pivotArea>
    </format>
    <format dxfId="229">
      <pivotArea collapsedLevelsAreSubtotals="1" fieldPosition="0">
        <references count="2">
          <reference field="4294967294" count="1" selected="0">
            <x v="1"/>
          </reference>
          <reference field="0" count="1">
            <x v="48"/>
          </reference>
        </references>
      </pivotArea>
    </format>
    <format dxfId="228">
      <pivotArea collapsedLevelsAreSubtotals="1" fieldPosition="0">
        <references count="2">
          <reference field="4294967294" count="1" selected="0">
            <x v="2"/>
          </reference>
          <reference field="0" count="1">
            <x v="48"/>
          </reference>
        </references>
      </pivotArea>
    </format>
    <format dxfId="227">
      <pivotArea collapsedLevelsAreSubtotals="1" fieldPosition="0">
        <references count="2">
          <reference field="4294967294" count="1" selected="0">
            <x v="3"/>
          </reference>
          <reference field="0" count="1">
            <x v="48"/>
          </reference>
        </references>
      </pivotArea>
    </format>
    <format dxfId="226">
      <pivotArea collapsedLevelsAreSubtotals="1" fieldPosition="0">
        <references count="2">
          <reference field="4294967294" count="1" selected="0">
            <x v="0"/>
          </reference>
          <reference field="0" count="1">
            <x v="58"/>
          </reference>
        </references>
      </pivotArea>
    </format>
    <format dxfId="225">
      <pivotArea collapsedLevelsAreSubtotals="1" fieldPosition="0">
        <references count="2">
          <reference field="4294967294" count="1" selected="0">
            <x v="1"/>
          </reference>
          <reference field="0" count="1">
            <x v="58"/>
          </reference>
        </references>
      </pivotArea>
    </format>
    <format dxfId="224">
      <pivotArea collapsedLevelsAreSubtotals="1" fieldPosition="0">
        <references count="2">
          <reference field="4294967294" count="1" selected="0">
            <x v="2"/>
          </reference>
          <reference field="0" count="1">
            <x v="58"/>
          </reference>
        </references>
      </pivotArea>
    </format>
    <format dxfId="223">
      <pivotArea collapsedLevelsAreSubtotals="1" fieldPosition="0">
        <references count="2">
          <reference field="4294967294" count="1" selected="0">
            <x v="3"/>
          </reference>
          <reference field="0" count="1">
            <x v="58"/>
          </reference>
        </references>
      </pivotArea>
    </format>
    <format dxfId="222">
      <pivotArea collapsedLevelsAreSubtotals="1" fieldPosition="0">
        <references count="2">
          <reference field="4294967294" count="1" selected="0">
            <x v="0"/>
          </reference>
          <reference field="0" count="1">
            <x v="60"/>
          </reference>
        </references>
      </pivotArea>
    </format>
    <format dxfId="221">
      <pivotArea collapsedLevelsAreSubtotals="1" fieldPosition="0">
        <references count="2">
          <reference field="4294967294" count="1" selected="0">
            <x v="1"/>
          </reference>
          <reference field="0" count="1">
            <x v="60"/>
          </reference>
        </references>
      </pivotArea>
    </format>
    <format dxfId="220">
      <pivotArea collapsedLevelsAreSubtotals="1" fieldPosition="0">
        <references count="2">
          <reference field="4294967294" count="1" selected="0">
            <x v="2"/>
          </reference>
          <reference field="0" count="1">
            <x v="60"/>
          </reference>
        </references>
      </pivotArea>
    </format>
    <format dxfId="219">
      <pivotArea collapsedLevelsAreSubtotals="1" fieldPosition="0">
        <references count="2">
          <reference field="4294967294" count="1" selected="0">
            <x v="3"/>
          </reference>
          <reference field="0" count="1">
            <x v="60"/>
          </reference>
        </references>
      </pivotArea>
    </format>
    <format dxfId="218">
      <pivotArea collapsedLevelsAreSubtotals="1" fieldPosition="0">
        <references count="2">
          <reference field="4294967294" count="1" selected="0">
            <x v="0"/>
          </reference>
          <reference field="0" count="1">
            <x v="64"/>
          </reference>
        </references>
      </pivotArea>
    </format>
    <format dxfId="217">
      <pivotArea collapsedLevelsAreSubtotals="1" fieldPosition="0">
        <references count="2">
          <reference field="4294967294" count="1" selected="0">
            <x v="1"/>
          </reference>
          <reference field="0" count="1">
            <x v="64"/>
          </reference>
        </references>
      </pivotArea>
    </format>
    <format dxfId="216">
      <pivotArea collapsedLevelsAreSubtotals="1" fieldPosition="0">
        <references count="2">
          <reference field="4294967294" count="1" selected="0">
            <x v="2"/>
          </reference>
          <reference field="0" count="1">
            <x v="64"/>
          </reference>
        </references>
      </pivotArea>
    </format>
    <format dxfId="215">
      <pivotArea collapsedLevelsAreSubtotals="1" fieldPosition="0">
        <references count="2">
          <reference field="4294967294" count="1" selected="0">
            <x v="3"/>
          </reference>
          <reference field="0" count="1">
            <x v="64"/>
          </reference>
        </references>
      </pivotArea>
    </format>
    <format dxfId="214">
      <pivotArea collapsedLevelsAreSubtotals="1" fieldPosition="0">
        <references count="2">
          <reference field="4294967294" count="1" selected="0">
            <x v="0"/>
          </reference>
          <reference field="0" count="1">
            <x v="67"/>
          </reference>
        </references>
      </pivotArea>
    </format>
    <format dxfId="213">
      <pivotArea collapsedLevelsAreSubtotals="1" fieldPosition="0">
        <references count="2">
          <reference field="4294967294" count="1" selected="0">
            <x v="1"/>
          </reference>
          <reference field="0" count="1">
            <x v="67"/>
          </reference>
        </references>
      </pivotArea>
    </format>
    <format dxfId="212">
      <pivotArea collapsedLevelsAreSubtotals="1" fieldPosition="0">
        <references count="2">
          <reference field="4294967294" count="1" selected="0">
            <x v="2"/>
          </reference>
          <reference field="0" count="1">
            <x v="67"/>
          </reference>
        </references>
      </pivotArea>
    </format>
    <format dxfId="211">
      <pivotArea collapsedLevelsAreSubtotals="1" fieldPosition="0">
        <references count="2">
          <reference field="4294967294" count="1" selected="0">
            <x v="3"/>
          </reference>
          <reference field="0" count="1">
            <x v="67"/>
          </reference>
        </references>
      </pivotArea>
    </format>
    <format dxfId="210">
      <pivotArea collapsedLevelsAreSubtotals="1" fieldPosition="0">
        <references count="2">
          <reference field="4294967294" count="1" selected="0">
            <x v="0"/>
          </reference>
          <reference field="0" count="1">
            <x v="3"/>
          </reference>
        </references>
      </pivotArea>
    </format>
    <format dxfId="209">
      <pivotArea collapsedLevelsAreSubtotals="1" fieldPosition="0">
        <references count="2">
          <reference field="4294967294" count="1" selected="0">
            <x v="1"/>
          </reference>
          <reference field="0" count="1">
            <x v="3"/>
          </reference>
        </references>
      </pivotArea>
    </format>
    <format dxfId="208">
      <pivotArea collapsedLevelsAreSubtotals="1" fieldPosition="0">
        <references count="2">
          <reference field="4294967294" count="1" selected="0">
            <x v="2"/>
          </reference>
          <reference field="0" count="1">
            <x v="3"/>
          </reference>
        </references>
      </pivotArea>
    </format>
    <format dxfId="207">
      <pivotArea collapsedLevelsAreSubtotals="1" fieldPosition="0">
        <references count="2">
          <reference field="4294967294" count="1" selected="0">
            <x v="3"/>
          </reference>
          <reference field="0" count="1">
            <x v="3"/>
          </reference>
        </references>
      </pivotArea>
    </format>
    <format dxfId="206">
      <pivotArea collapsedLevelsAreSubtotals="1" fieldPosition="0">
        <references count="2">
          <reference field="4294967294" count="1" selected="0">
            <x v="0"/>
          </reference>
          <reference field="0" count="1">
            <x v="5"/>
          </reference>
        </references>
      </pivotArea>
    </format>
    <format dxfId="205">
      <pivotArea collapsedLevelsAreSubtotals="1" fieldPosition="0">
        <references count="2">
          <reference field="4294967294" count="1" selected="0">
            <x v="1"/>
          </reference>
          <reference field="0" count="1">
            <x v="5"/>
          </reference>
        </references>
      </pivotArea>
    </format>
    <format dxfId="204">
      <pivotArea collapsedLevelsAreSubtotals="1" fieldPosition="0">
        <references count="2">
          <reference field="4294967294" count="1" selected="0">
            <x v="2"/>
          </reference>
          <reference field="0" count="1">
            <x v="5"/>
          </reference>
        </references>
      </pivotArea>
    </format>
    <format dxfId="203">
      <pivotArea collapsedLevelsAreSubtotals="1" fieldPosition="0">
        <references count="2">
          <reference field="4294967294" count="1" selected="0">
            <x v="3"/>
          </reference>
          <reference field="0" count="1">
            <x v="5"/>
          </reference>
        </references>
      </pivotArea>
    </format>
    <format dxfId="202">
      <pivotArea collapsedLevelsAreSubtotals="1" fieldPosition="0">
        <references count="2">
          <reference field="4294967294" count="1" selected="0">
            <x v="0"/>
          </reference>
          <reference field="0" count="1">
            <x v="11"/>
          </reference>
        </references>
      </pivotArea>
    </format>
    <format dxfId="201">
      <pivotArea collapsedLevelsAreSubtotals="1" fieldPosition="0">
        <references count="2">
          <reference field="4294967294" count="1" selected="0">
            <x v="1"/>
          </reference>
          <reference field="0" count="1">
            <x v="11"/>
          </reference>
        </references>
      </pivotArea>
    </format>
    <format dxfId="200">
      <pivotArea collapsedLevelsAreSubtotals="1" fieldPosition="0">
        <references count="2">
          <reference field="4294967294" count="1" selected="0">
            <x v="2"/>
          </reference>
          <reference field="0" count="1">
            <x v="11"/>
          </reference>
        </references>
      </pivotArea>
    </format>
    <format dxfId="199">
      <pivotArea collapsedLevelsAreSubtotals="1" fieldPosition="0">
        <references count="2">
          <reference field="4294967294" count="1" selected="0">
            <x v="3"/>
          </reference>
          <reference field="0" count="1">
            <x v="11"/>
          </reference>
        </references>
      </pivotArea>
    </format>
    <format dxfId="198">
      <pivotArea collapsedLevelsAreSubtotals="1" fieldPosition="0">
        <references count="2">
          <reference field="4294967294" count="1" selected="0">
            <x v="0"/>
          </reference>
          <reference field="0" count="1">
            <x v="35"/>
          </reference>
        </references>
      </pivotArea>
    </format>
    <format dxfId="197">
      <pivotArea collapsedLevelsAreSubtotals="1" fieldPosition="0">
        <references count="2">
          <reference field="4294967294" count="1" selected="0">
            <x v="1"/>
          </reference>
          <reference field="0" count="1">
            <x v="35"/>
          </reference>
        </references>
      </pivotArea>
    </format>
    <format dxfId="196">
      <pivotArea collapsedLevelsAreSubtotals="1" fieldPosition="0">
        <references count="2">
          <reference field="4294967294" count="1" selected="0">
            <x v="2"/>
          </reference>
          <reference field="0" count="1">
            <x v="35"/>
          </reference>
        </references>
      </pivotArea>
    </format>
    <format dxfId="195">
      <pivotArea collapsedLevelsAreSubtotals="1" fieldPosition="0">
        <references count="2">
          <reference field="4294967294" count="1" selected="0">
            <x v="3"/>
          </reference>
          <reference field="0" count="1">
            <x v="35"/>
          </reference>
        </references>
      </pivotArea>
    </format>
    <format dxfId="194">
      <pivotArea collapsedLevelsAreSubtotals="1" fieldPosition="0">
        <references count="2">
          <reference field="4294967294" count="1" selected="0">
            <x v="0"/>
          </reference>
          <reference field="0" count="1">
            <x v="62"/>
          </reference>
        </references>
      </pivotArea>
    </format>
    <format dxfId="193">
      <pivotArea collapsedLevelsAreSubtotals="1" fieldPosition="0">
        <references count="2">
          <reference field="4294967294" count="1" selected="0">
            <x v="1"/>
          </reference>
          <reference field="0" count="1">
            <x v="62"/>
          </reference>
        </references>
      </pivotArea>
    </format>
    <format dxfId="192">
      <pivotArea collapsedLevelsAreSubtotals="1" fieldPosition="0">
        <references count="2">
          <reference field="4294967294" count="1" selected="0">
            <x v="2"/>
          </reference>
          <reference field="0" count="1">
            <x v="62"/>
          </reference>
        </references>
      </pivotArea>
    </format>
    <format dxfId="191">
      <pivotArea collapsedLevelsAreSubtotals="1" fieldPosition="0">
        <references count="2">
          <reference field="4294967294" count="1" selected="0">
            <x v="3"/>
          </reference>
          <reference field="0" count="1">
            <x v="62"/>
          </reference>
        </references>
      </pivotArea>
    </format>
    <format dxfId="19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8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88">
      <pivotArea field="0" type="button" dataOnly="0" labelOnly="1" outline="0" axis="axisRow" fieldPosition="0"/>
    </format>
    <format dxfId="18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8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8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84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8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82">
      <pivotArea collapsedLevelsAreSubtotals="1" fieldPosition="0">
        <references count="2">
          <reference field="4294967294" count="1" selected="0">
            <x v="0"/>
          </reference>
          <reference field="0" count="1">
            <x v="13"/>
          </reference>
        </references>
      </pivotArea>
    </format>
    <format dxfId="181">
      <pivotArea collapsedLevelsAreSubtotals="1" fieldPosition="0">
        <references count="2">
          <reference field="4294967294" count="1" selected="0">
            <x v="1"/>
          </reference>
          <reference field="0" count="1">
            <x v="13"/>
          </reference>
        </references>
      </pivotArea>
    </format>
    <format dxfId="180">
      <pivotArea collapsedLevelsAreSubtotals="1" fieldPosition="0">
        <references count="2">
          <reference field="4294967294" count="1" selected="0">
            <x v="2"/>
          </reference>
          <reference field="0" count="1">
            <x v="13"/>
          </reference>
        </references>
      </pivotArea>
    </format>
    <format dxfId="179">
      <pivotArea collapsedLevelsAreSubtotals="1" fieldPosition="0">
        <references count="2">
          <reference field="4294967294" count="1" selected="0">
            <x v="3"/>
          </reference>
          <reference field="0" count="1">
            <x v="13"/>
          </reference>
        </references>
      </pivotArea>
    </format>
    <format dxfId="178">
      <pivotArea collapsedLevelsAreSubtotals="1" fieldPosition="0">
        <references count="2">
          <reference field="4294967294" count="1" selected="0">
            <x v="0"/>
          </reference>
          <reference field="0" count="1">
            <x v="28"/>
          </reference>
        </references>
      </pivotArea>
    </format>
    <format dxfId="177">
      <pivotArea collapsedLevelsAreSubtotals="1" fieldPosition="0">
        <references count="2">
          <reference field="4294967294" count="1" selected="0">
            <x v="1"/>
          </reference>
          <reference field="0" count="1">
            <x v="28"/>
          </reference>
        </references>
      </pivotArea>
    </format>
    <format dxfId="176">
      <pivotArea collapsedLevelsAreSubtotals="1" fieldPosition="0">
        <references count="2">
          <reference field="4294967294" count="1" selected="0">
            <x v="2"/>
          </reference>
          <reference field="0" count="1">
            <x v="28"/>
          </reference>
        </references>
      </pivotArea>
    </format>
    <format dxfId="175">
      <pivotArea collapsedLevelsAreSubtotals="1" fieldPosition="0">
        <references count="2">
          <reference field="4294967294" count="1" selected="0">
            <x v="3"/>
          </reference>
          <reference field="0" count="1">
            <x v="28"/>
          </reference>
        </references>
      </pivotArea>
    </format>
    <format dxfId="174">
      <pivotArea collapsedLevelsAreSubtotals="1" fieldPosition="0">
        <references count="2">
          <reference field="4294967294" count="1" selected="0">
            <x v="0"/>
          </reference>
          <reference field="0" count="1">
            <x v="30"/>
          </reference>
        </references>
      </pivotArea>
    </format>
    <format dxfId="173">
      <pivotArea collapsedLevelsAreSubtotals="1" fieldPosition="0">
        <references count="2">
          <reference field="4294967294" count="1" selected="0">
            <x v="1"/>
          </reference>
          <reference field="0" count="1">
            <x v="30"/>
          </reference>
        </references>
      </pivotArea>
    </format>
    <format dxfId="172">
      <pivotArea collapsedLevelsAreSubtotals="1" fieldPosition="0">
        <references count="2">
          <reference field="4294967294" count="1" selected="0">
            <x v="2"/>
          </reference>
          <reference field="0" count="1">
            <x v="30"/>
          </reference>
        </references>
      </pivotArea>
    </format>
    <format dxfId="171">
      <pivotArea collapsedLevelsAreSubtotals="1" fieldPosition="0">
        <references count="2">
          <reference field="4294967294" count="1" selected="0">
            <x v="3"/>
          </reference>
          <reference field="0" count="1">
            <x v="30"/>
          </reference>
        </references>
      </pivotArea>
    </format>
    <format dxfId="170">
      <pivotArea collapsedLevelsAreSubtotals="1" fieldPosition="0">
        <references count="2">
          <reference field="4294967294" count="1" selected="0">
            <x v="0"/>
          </reference>
          <reference field="0" count="1">
            <x v="40"/>
          </reference>
        </references>
      </pivotArea>
    </format>
    <format dxfId="169">
      <pivotArea collapsedLevelsAreSubtotals="1" fieldPosition="0">
        <references count="2">
          <reference field="4294967294" count="1" selected="0">
            <x v="1"/>
          </reference>
          <reference field="0" count="1">
            <x v="40"/>
          </reference>
        </references>
      </pivotArea>
    </format>
    <format dxfId="168">
      <pivotArea collapsedLevelsAreSubtotals="1" fieldPosition="0">
        <references count="2">
          <reference field="4294967294" count="1" selected="0">
            <x v="2"/>
          </reference>
          <reference field="0" count="1">
            <x v="40"/>
          </reference>
        </references>
      </pivotArea>
    </format>
    <format dxfId="167">
      <pivotArea collapsedLevelsAreSubtotals="1" fieldPosition="0">
        <references count="2">
          <reference field="4294967294" count="1" selected="0">
            <x v="3"/>
          </reference>
          <reference field="0" count="1">
            <x v="40"/>
          </reference>
        </references>
      </pivotArea>
    </format>
    <format dxfId="166">
      <pivotArea collapsedLevelsAreSubtotals="1" fieldPosition="0">
        <references count="2">
          <reference field="4294967294" count="1" selected="0">
            <x v="0"/>
          </reference>
          <reference field="0" count="1">
            <x v="47"/>
          </reference>
        </references>
      </pivotArea>
    </format>
    <format dxfId="165">
      <pivotArea collapsedLevelsAreSubtotals="1" fieldPosition="0">
        <references count="2">
          <reference field="4294967294" count="1" selected="0">
            <x v="1"/>
          </reference>
          <reference field="0" count="1">
            <x v="47"/>
          </reference>
        </references>
      </pivotArea>
    </format>
    <format dxfId="164">
      <pivotArea collapsedLevelsAreSubtotals="1" fieldPosition="0">
        <references count="2">
          <reference field="4294967294" count="1" selected="0">
            <x v="2"/>
          </reference>
          <reference field="0" count="1">
            <x v="47"/>
          </reference>
        </references>
      </pivotArea>
    </format>
    <format dxfId="163">
      <pivotArea collapsedLevelsAreSubtotals="1" fieldPosition="0">
        <references count="2">
          <reference field="4294967294" count="1" selected="0">
            <x v="3"/>
          </reference>
          <reference field="0" count="1">
            <x v="47"/>
          </reference>
        </references>
      </pivotArea>
    </format>
    <format dxfId="162">
      <pivotArea collapsedLevelsAreSubtotals="1" fieldPosition="0">
        <references count="2">
          <reference field="4294967294" count="1" selected="0">
            <x v="0"/>
          </reference>
          <reference field="0" count="1">
            <x v="49"/>
          </reference>
        </references>
      </pivotArea>
    </format>
    <format dxfId="161">
      <pivotArea collapsedLevelsAreSubtotals="1" fieldPosition="0">
        <references count="2">
          <reference field="4294967294" count="1" selected="0">
            <x v="1"/>
          </reference>
          <reference field="0" count="1">
            <x v="49"/>
          </reference>
        </references>
      </pivotArea>
    </format>
    <format dxfId="160">
      <pivotArea collapsedLevelsAreSubtotals="1" fieldPosition="0">
        <references count="2">
          <reference field="4294967294" count="1" selected="0">
            <x v="2"/>
          </reference>
          <reference field="0" count="1">
            <x v="49"/>
          </reference>
        </references>
      </pivotArea>
    </format>
    <format dxfId="159">
      <pivotArea collapsedLevelsAreSubtotals="1" fieldPosition="0">
        <references count="2">
          <reference field="4294967294" count="1" selected="0">
            <x v="3"/>
          </reference>
          <reference field="0" count="1">
            <x v="49"/>
          </reference>
        </references>
      </pivotArea>
    </format>
    <format dxfId="158">
      <pivotArea collapsedLevelsAreSubtotals="1" fieldPosition="0">
        <references count="2">
          <reference field="4294967294" count="1" selected="0">
            <x v="0"/>
          </reference>
          <reference field="0" count="1">
            <x v="53"/>
          </reference>
        </references>
      </pivotArea>
    </format>
    <format dxfId="157">
      <pivotArea collapsedLevelsAreSubtotals="1" fieldPosition="0">
        <references count="2">
          <reference field="4294967294" count="1" selected="0">
            <x v="1"/>
          </reference>
          <reference field="0" count="1">
            <x v="53"/>
          </reference>
        </references>
      </pivotArea>
    </format>
    <format dxfId="156">
      <pivotArea collapsedLevelsAreSubtotals="1" fieldPosition="0">
        <references count="2">
          <reference field="4294967294" count="1" selected="0">
            <x v="2"/>
          </reference>
          <reference field="0" count="1">
            <x v="53"/>
          </reference>
        </references>
      </pivotArea>
    </format>
    <format dxfId="155">
      <pivotArea collapsedLevelsAreSubtotals="1" fieldPosition="0">
        <references count="2">
          <reference field="4294967294" count="1" selected="0">
            <x v="3"/>
          </reference>
          <reference field="0" count="1">
            <x v="53"/>
          </reference>
        </references>
      </pivotArea>
    </format>
    <format dxfId="154">
      <pivotArea collapsedLevelsAreSubtotals="1" fieldPosition="0">
        <references count="2">
          <reference field="4294967294" count="1" selected="0">
            <x v="0"/>
          </reference>
          <reference field="0" count="1">
            <x v="68"/>
          </reference>
        </references>
      </pivotArea>
    </format>
    <format dxfId="153">
      <pivotArea collapsedLevelsAreSubtotals="1" fieldPosition="0">
        <references count="2">
          <reference field="4294967294" count="1" selected="0">
            <x v="1"/>
          </reference>
          <reference field="0" count="1">
            <x v="68"/>
          </reference>
        </references>
      </pivotArea>
    </format>
    <format dxfId="152">
      <pivotArea collapsedLevelsAreSubtotals="1" fieldPosition="0">
        <references count="2">
          <reference field="4294967294" count="1" selected="0">
            <x v="2"/>
          </reference>
          <reference field="0" count="1">
            <x v="68"/>
          </reference>
        </references>
      </pivotArea>
    </format>
    <format dxfId="151">
      <pivotArea collapsedLevelsAreSubtotals="1" fieldPosition="0">
        <references count="2">
          <reference field="4294967294" count="1" selected="0">
            <x v="3"/>
          </reference>
          <reference field="0" count="1">
            <x v="68"/>
          </reference>
        </references>
      </pivotArea>
    </format>
    <format dxfId="150">
      <pivotArea collapsedLevelsAreSubtotals="1" fieldPosition="0">
        <references count="2">
          <reference field="4294967294" count="1" selected="0">
            <x v="0"/>
          </reference>
          <reference field="0" count="1">
            <x v="22"/>
          </reference>
        </references>
      </pivotArea>
    </format>
    <format dxfId="149">
      <pivotArea collapsedLevelsAreSubtotals="1" fieldPosition="0">
        <references count="2">
          <reference field="4294967294" count="1" selected="0">
            <x v="1"/>
          </reference>
          <reference field="0" count="1">
            <x v="22"/>
          </reference>
        </references>
      </pivotArea>
    </format>
    <format dxfId="148">
      <pivotArea collapsedLevelsAreSubtotals="1" fieldPosition="0">
        <references count="2">
          <reference field="4294967294" count="1" selected="0">
            <x v="2"/>
          </reference>
          <reference field="0" count="1">
            <x v="22"/>
          </reference>
        </references>
      </pivotArea>
    </format>
    <format dxfId="147">
      <pivotArea collapsedLevelsAreSubtotals="1" fieldPosition="0">
        <references count="2">
          <reference field="4294967294" count="1" selected="0">
            <x v="3"/>
          </reference>
          <reference field="0" count="1">
            <x v="22"/>
          </reference>
        </references>
      </pivotArea>
    </format>
    <format dxfId="146">
      <pivotArea collapsedLevelsAreSubtotals="1" fieldPosition="0">
        <references count="2">
          <reference field="4294967294" count="1" selected="0">
            <x v="0"/>
          </reference>
          <reference field="0" count="1">
            <x v="25"/>
          </reference>
        </references>
      </pivotArea>
    </format>
    <format dxfId="145">
      <pivotArea collapsedLevelsAreSubtotals="1" fieldPosition="0">
        <references count="2">
          <reference field="4294967294" count="1" selected="0">
            <x v="1"/>
          </reference>
          <reference field="0" count="1">
            <x v="25"/>
          </reference>
        </references>
      </pivotArea>
    </format>
    <format dxfId="144">
      <pivotArea collapsedLevelsAreSubtotals="1" fieldPosition="0">
        <references count="2">
          <reference field="4294967294" count="1" selected="0">
            <x v="2"/>
          </reference>
          <reference field="0" count="1">
            <x v="25"/>
          </reference>
        </references>
      </pivotArea>
    </format>
    <format dxfId="143">
      <pivotArea collapsedLevelsAreSubtotals="1" fieldPosition="0">
        <references count="2">
          <reference field="4294967294" count="1" selected="0">
            <x v="3"/>
          </reference>
          <reference field="0" count="1">
            <x v="25"/>
          </reference>
        </references>
      </pivotArea>
    </format>
    <format dxfId="142">
      <pivotArea collapsedLevelsAreSubtotals="1" fieldPosition="0">
        <references count="2">
          <reference field="4294967294" count="1" selected="0">
            <x v="0"/>
          </reference>
          <reference field="0" count="1">
            <x v="41"/>
          </reference>
        </references>
      </pivotArea>
    </format>
    <format dxfId="141">
      <pivotArea collapsedLevelsAreSubtotals="1" fieldPosition="0">
        <references count="2">
          <reference field="4294967294" count="1" selected="0">
            <x v="1"/>
          </reference>
          <reference field="0" count="1">
            <x v="41"/>
          </reference>
        </references>
      </pivotArea>
    </format>
    <format dxfId="140">
      <pivotArea collapsedLevelsAreSubtotals="1" fieldPosition="0">
        <references count="2">
          <reference field="4294967294" count="1" selected="0">
            <x v="2"/>
          </reference>
          <reference field="0" count="1">
            <x v="41"/>
          </reference>
        </references>
      </pivotArea>
    </format>
    <format dxfId="139">
      <pivotArea collapsedLevelsAreSubtotals="1" fieldPosition="0">
        <references count="2">
          <reference field="4294967294" count="1" selected="0">
            <x v="3"/>
          </reference>
          <reference field="0" count="1">
            <x v="41"/>
          </reference>
        </references>
      </pivotArea>
    </format>
    <format dxfId="138">
      <pivotArea collapsedLevelsAreSubtotals="1" fieldPosition="0">
        <references count="2">
          <reference field="4294967294" count="1" selected="0">
            <x v="0"/>
          </reference>
          <reference field="0" count="1">
            <x v="44"/>
          </reference>
        </references>
      </pivotArea>
    </format>
    <format dxfId="137">
      <pivotArea collapsedLevelsAreSubtotals="1" fieldPosition="0">
        <references count="2">
          <reference field="4294967294" count="1" selected="0">
            <x v="1"/>
          </reference>
          <reference field="0" count="1">
            <x v="44"/>
          </reference>
        </references>
      </pivotArea>
    </format>
    <format dxfId="136">
      <pivotArea collapsedLevelsAreSubtotals="1" fieldPosition="0">
        <references count="2">
          <reference field="4294967294" count="1" selected="0">
            <x v="2"/>
          </reference>
          <reference field="0" count="1">
            <x v="44"/>
          </reference>
        </references>
      </pivotArea>
    </format>
    <format dxfId="135">
      <pivotArea collapsedLevelsAreSubtotals="1" fieldPosition="0">
        <references count="2">
          <reference field="4294967294" count="1" selected="0">
            <x v="3"/>
          </reference>
          <reference field="0" count="1">
            <x v="44"/>
          </reference>
        </references>
      </pivotArea>
    </format>
    <format dxfId="134">
      <pivotArea collapsedLevelsAreSubtotals="1" fieldPosition="0">
        <references count="2">
          <reference field="4294967294" count="1" selected="0">
            <x v="0"/>
          </reference>
          <reference field="0" count="1">
            <x v="55"/>
          </reference>
        </references>
      </pivotArea>
    </format>
    <format dxfId="133">
      <pivotArea collapsedLevelsAreSubtotals="1" fieldPosition="0">
        <references count="2">
          <reference field="4294967294" count="1" selected="0">
            <x v="1"/>
          </reference>
          <reference field="0" count="1">
            <x v="55"/>
          </reference>
        </references>
      </pivotArea>
    </format>
    <format dxfId="132">
      <pivotArea collapsedLevelsAreSubtotals="1" fieldPosition="0">
        <references count="2">
          <reference field="4294967294" count="1" selected="0">
            <x v="2"/>
          </reference>
          <reference field="0" count="1">
            <x v="55"/>
          </reference>
        </references>
      </pivotArea>
    </format>
    <format dxfId="131">
      <pivotArea collapsedLevelsAreSubtotals="1" fieldPosition="0">
        <references count="2">
          <reference field="4294967294" count="1" selected="0">
            <x v="3"/>
          </reference>
          <reference field="0" count="1">
            <x v="55"/>
          </reference>
        </references>
      </pivotArea>
    </format>
    <format dxfId="130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29">
      <pivotArea field="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28">
      <pivotArea field="0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127">
      <pivotArea field="0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096C14-7D39-4705-96FD-06BD4817150E}" name="SuiviQvidian" displayName="SuiviQvidian" ref="A8:J41" totalsRowShown="0" headerRowDxfId="554" dataDxfId="553">
  <autoFilter ref="A8:J41" xr:uid="{62096C14-7D39-4705-96FD-06BD4817150E}"/>
  <tableColumns count="10">
    <tableColumn id="1" xr3:uid="{8A5B1B93-11CB-4C02-8847-2B8E4A8610E0}" name="Fonds" dataDxfId="552"/>
    <tableColumn id="2" xr3:uid="{F5F93E60-D162-4ED3-AF3B-31F26ABC26FD}" name="Industrie OK" dataDxfId="551"/>
    <tableColumn id="3" xr3:uid="{CFC08FC5-46AD-4338-8A43-53F6F3A6E8D0}" name="Société OK" dataDxfId="550"/>
    <tableColumn id="4" xr3:uid="{9FBB3393-8B26-4D50-B1F6-868240BB233D}" name="Statut" dataDxfId="549">
      <calculatedColumnFormula>IF(AND(B9,C9),"Terminé",IF(OR(B9,C9),"En cours","À faire"))</calculatedColumnFormula>
    </tableColumn>
    <tableColumn id="5" xr3:uid="{E963A3FC-1AC1-45E1-86C9-D1CBD34C19AB}" name="ID + merge code Industrie" dataDxfId="548"/>
    <tableColumn id="6" xr3:uid="{2926F8BA-B7F2-4D88-9134-220A7486610B}" name="ID + merge code Société" dataDxfId="547"/>
    <tableColumn id="7" xr3:uid="{32A577D3-3BB6-4036-A0F9-F2F4B9E7C494}" name="ID sans code (0 an)" dataDxfId="546"/>
    <tableColumn id="8" xr3:uid="{A468DEEE-6A54-46A0-883F-BAAD4BCA860E}" name="Personne à activer en 2027" dataDxfId="545"/>
    <tableColumn id="9" xr3:uid="{338F7AB2-D924-4A2D-9568-98A4E7BF4B6B}" name="Notes / blocages" dataDxfId="544"/>
    <tableColumn id="10" xr3:uid="{F5226FD3-52ED-4563-A950-4D9888080E25}" name="Dernière MAJ" dataDxfId="54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6B2A5-667A-44DF-B23E-D2DB471F3C0D}">
  <dimension ref="A1:H12"/>
  <sheetViews>
    <sheetView workbookViewId="0">
      <selection activeCell="C82" sqref="C82"/>
    </sheetView>
  </sheetViews>
  <sheetFormatPr baseColWidth="10" defaultRowHeight="10" x14ac:dyDescent="0.2"/>
  <cols>
    <col min="1" max="1" width="44.44140625" customWidth="1"/>
    <col min="2" max="2" width="77.77734375" customWidth="1"/>
    <col min="3" max="8" width="12.21875" customWidth="1"/>
  </cols>
  <sheetData>
    <row r="1" spans="1:8" ht="23" x14ac:dyDescent="0.2">
      <c r="A1" s="104" t="s">
        <v>442</v>
      </c>
      <c r="B1" s="104"/>
      <c r="C1" s="104"/>
      <c r="D1" s="104"/>
      <c r="E1" s="104"/>
      <c r="F1" s="104"/>
      <c r="G1" s="104"/>
      <c r="H1" s="104"/>
    </row>
    <row r="2" spans="1:8" ht="13" x14ac:dyDescent="0.2">
      <c r="A2" s="105" t="s">
        <v>443</v>
      </c>
      <c r="B2" s="105"/>
      <c r="C2" s="105"/>
      <c r="D2" s="105"/>
      <c r="E2" s="105"/>
      <c r="F2" s="105"/>
      <c r="G2" s="105"/>
      <c r="H2" s="105"/>
    </row>
    <row r="3" spans="1:8" x14ac:dyDescent="0.2">
      <c r="A3" s="5"/>
      <c r="B3" s="5"/>
      <c r="C3" s="5"/>
      <c r="D3" s="5"/>
      <c r="E3" s="5"/>
      <c r="F3" s="5"/>
      <c r="G3" s="5"/>
      <c r="H3" s="5"/>
    </row>
    <row r="4" spans="1:8" ht="10.5" x14ac:dyDescent="0.2">
      <c r="A4" s="106" t="s">
        <v>444</v>
      </c>
      <c r="B4" s="106"/>
      <c r="C4" s="106"/>
      <c r="D4" s="106"/>
      <c r="E4" s="106"/>
      <c r="F4" s="106"/>
      <c r="G4" s="106"/>
      <c r="H4" s="106"/>
    </row>
    <row r="5" spans="1:8" x14ac:dyDescent="0.2">
      <c r="A5" s="107" t="s">
        <v>445</v>
      </c>
      <c r="B5" s="107"/>
      <c r="C5" s="107"/>
      <c r="D5" s="107"/>
      <c r="E5" s="107"/>
      <c r="F5" s="107"/>
      <c r="G5" s="107"/>
      <c r="H5" s="107"/>
    </row>
    <row r="6" spans="1:8" x14ac:dyDescent="0.2">
      <c r="A6" s="5"/>
      <c r="B6" s="5"/>
      <c r="C6" s="5"/>
      <c r="D6" s="5"/>
      <c r="E6" s="5"/>
      <c r="F6" s="5"/>
      <c r="G6" s="5"/>
      <c r="H6" s="5"/>
    </row>
    <row r="7" spans="1:8" ht="10.5" x14ac:dyDescent="0.2">
      <c r="A7" s="82" t="s">
        <v>446</v>
      </c>
      <c r="B7" s="82" t="s">
        <v>447</v>
      </c>
      <c r="C7" s="5"/>
      <c r="D7" s="5"/>
      <c r="E7" s="5"/>
      <c r="F7" s="5"/>
      <c r="G7" s="5"/>
      <c r="H7" s="5"/>
    </row>
    <row r="8" spans="1:8" x14ac:dyDescent="0.2">
      <c r="A8" s="5" t="s">
        <v>448</v>
      </c>
      <c r="B8" s="83" t="s">
        <v>449</v>
      </c>
      <c r="C8" s="5"/>
      <c r="D8" s="5"/>
      <c r="E8" s="5"/>
      <c r="F8" s="5"/>
      <c r="G8" s="5"/>
      <c r="H8" s="5"/>
    </row>
    <row r="9" spans="1:8" x14ac:dyDescent="0.2">
      <c r="A9" s="5" t="s">
        <v>450</v>
      </c>
      <c r="B9" s="83" t="s">
        <v>451</v>
      </c>
      <c r="C9" s="5"/>
      <c r="D9" s="5"/>
      <c r="E9" s="5"/>
      <c r="F9" s="5"/>
      <c r="G9" s="5"/>
      <c r="H9" s="5"/>
    </row>
    <row r="10" spans="1:8" x14ac:dyDescent="0.2">
      <c r="A10" s="5" t="s">
        <v>452</v>
      </c>
      <c r="B10" s="83" t="s">
        <v>453</v>
      </c>
      <c r="C10" s="5"/>
      <c r="D10" s="5"/>
      <c r="E10" s="5"/>
      <c r="F10" s="5"/>
      <c r="G10" s="5"/>
      <c r="H10" s="5"/>
    </row>
    <row r="11" spans="1:8" x14ac:dyDescent="0.2">
      <c r="A11" s="5" t="s">
        <v>454</v>
      </c>
      <c r="B11" s="83" t="s">
        <v>455</v>
      </c>
      <c r="C11" s="5"/>
      <c r="D11" s="5"/>
      <c r="E11" s="5"/>
      <c r="F11" s="5"/>
      <c r="G11" s="5"/>
      <c r="H11" s="5"/>
    </row>
    <row r="12" spans="1:8" x14ac:dyDescent="0.2">
      <c r="A12" s="84" t="s">
        <v>456</v>
      </c>
      <c r="B12" s="85" t="s">
        <v>457</v>
      </c>
      <c r="C12" s="5"/>
      <c r="D12" s="5"/>
      <c r="E12" s="5"/>
      <c r="F12" s="5"/>
      <c r="G12" s="5"/>
      <c r="H12" s="5"/>
    </row>
  </sheetData>
  <mergeCells count="4">
    <mergeCell ref="A1:H1"/>
    <mergeCell ref="A2:H2"/>
    <mergeCell ref="A4:H4"/>
    <mergeCell ref="A5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E8DA9-8334-4200-9FFD-F3B0B591F02B}">
  <sheetPr>
    <tabColor rgb="FFC00000"/>
  </sheetPr>
  <dimension ref="B2:C22"/>
  <sheetViews>
    <sheetView zoomScale="190" zoomScaleNormal="190" workbookViewId="0">
      <selection activeCell="F26" sqref="F25:F26"/>
    </sheetView>
  </sheetViews>
  <sheetFormatPr baseColWidth="10" defaultColWidth="8.77734375" defaultRowHeight="10" x14ac:dyDescent="0.2"/>
  <sheetData>
    <row r="2" spans="2:3" ht="10.5" x14ac:dyDescent="0.25">
      <c r="B2" s="53" t="s">
        <v>193</v>
      </c>
    </row>
    <row r="3" spans="2:3" ht="10.5" x14ac:dyDescent="0.25">
      <c r="B3" s="53"/>
    </row>
    <row r="4" spans="2:3" x14ac:dyDescent="0.2">
      <c r="C4" s="54" t="s">
        <v>180</v>
      </c>
    </row>
    <row r="5" spans="2:3" x14ac:dyDescent="0.2">
      <c r="B5" t="s">
        <v>178</v>
      </c>
    </row>
    <row r="6" spans="2:3" x14ac:dyDescent="0.2">
      <c r="B6" t="s">
        <v>179</v>
      </c>
    </row>
    <row r="8" spans="2:3" x14ac:dyDescent="0.2">
      <c r="C8" s="54" t="s">
        <v>181</v>
      </c>
    </row>
    <row r="9" spans="2:3" x14ac:dyDescent="0.2">
      <c r="B9" t="s">
        <v>182</v>
      </c>
    </row>
    <row r="10" spans="2:3" x14ac:dyDescent="0.2">
      <c r="B10" t="s">
        <v>183</v>
      </c>
    </row>
    <row r="11" spans="2:3" x14ac:dyDescent="0.2">
      <c r="B11" t="s">
        <v>184</v>
      </c>
    </row>
    <row r="22" spans="2:2" x14ac:dyDescent="0.2">
      <c r="B22" t="s">
        <v>185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411D6-06BE-42E5-8BC1-72F311698DC1}">
  <sheetPr>
    <tabColor rgb="FF1C355E"/>
  </sheetPr>
  <dimension ref="A1:E104"/>
  <sheetViews>
    <sheetView tabSelected="1" zoomScale="160" zoomScaleNormal="160" workbookViewId="0">
      <selection activeCell="E16" sqref="E16"/>
    </sheetView>
  </sheetViews>
  <sheetFormatPr baseColWidth="10" defaultColWidth="8.77734375" defaultRowHeight="10" x14ac:dyDescent="0.2"/>
  <cols>
    <col min="1" max="1" width="25.33203125" bestFit="1" customWidth="1"/>
    <col min="2" max="2" width="21.44140625" bestFit="1" customWidth="1"/>
    <col min="3" max="3" width="23" bestFit="1" customWidth="1"/>
    <col min="4" max="4" width="29.109375" bestFit="1" customWidth="1"/>
    <col min="5" max="5" width="33.33203125" bestFit="1" customWidth="1"/>
  </cols>
  <sheetData>
    <row r="1" spans="1:5" ht="16" x14ac:dyDescent="0.2">
      <c r="A1" s="52" t="s">
        <v>177</v>
      </c>
    </row>
    <row r="3" spans="1:5" x14ac:dyDescent="0.2">
      <c r="A3" s="49" t="s">
        <v>108</v>
      </c>
      <c r="B3" t="s">
        <v>162</v>
      </c>
    </row>
    <row r="4" spans="1:5" x14ac:dyDescent="0.2">
      <c r="A4" s="49" t="s">
        <v>74</v>
      </c>
      <c r="B4" t="s">
        <v>202</v>
      </c>
    </row>
    <row r="6" spans="1:5" ht="23" x14ac:dyDescent="0.2">
      <c r="A6" s="55" t="s">
        <v>196</v>
      </c>
      <c r="B6" s="55" t="s">
        <v>168</v>
      </c>
      <c r="C6" s="55" t="s">
        <v>169</v>
      </c>
      <c r="D6" s="55" t="s">
        <v>170</v>
      </c>
      <c r="E6" s="55" t="s">
        <v>171</v>
      </c>
    </row>
    <row r="7" spans="1:5" x14ac:dyDescent="0.2">
      <c r="A7" s="50" t="s">
        <v>98</v>
      </c>
      <c r="B7" s="51">
        <v>2016</v>
      </c>
      <c r="C7" s="51">
        <v>8</v>
      </c>
      <c r="D7" s="51">
        <v>2019</v>
      </c>
      <c r="E7" s="51">
        <v>5</v>
      </c>
    </row>
    <row r="8" spans="1:5" x14ac:dyDescent="0.2">
      <c r="A8" s="50" t="s">
        <v>41</v>
      </c>
      <c r="B8" s="51">
        <v>2016</v>
      </c>
      <c r="C8" s="51">
        <v>8</v>
      </c>
      <c r="D8" s="51">
        <v>2016</v>
      </c>
      <c r="E8" s="51">
        <v>8</v>
      </c>
    </row>
    <row r="9" spans="1:5" x14ac:dyDescent="0.2">
      <c r="A9" s="50" t="s">
        <v>43</v>
      </c>
      <c r="B9" s="51">
        <v>2014</v>
      </c>
      <c r="C9" s="51">
        <v>10</v>
      </c>
      <c r="D9" s="51">
        <v>2021</v>
      </c>
      <c r="E9" s="51">
        <v>3</v>
      </c>
    </row>
    <row r="10" spans="1:5" x14ac:dyDescent="0.2">
      <c r="A10" s="50" t="s">
        <v>22</v>
      </c>
      <c r="B10" s="51">
        <v>1998</v>
      </c>
      <c r="C10" s="51">
        <v>26</v>
      </c>
      <c r="D10" s="51">
        <v>2004</v>
      </c>
      <c r="E10" s="51">
        <v>20</v>
      </c>
    </row>
    <row r="11" spans="1:5" x14ac:dyDescent="0.2">
      <c r="A11" s="50" t="s">
        <v>64</v>
      </c>
      <c r="B11" s="51">
        <v>2005</v>
      </c>
      <c r="C11" s="51">
        <v>19</v>
      </c>
      <c r="D11" s="51">
        <v>2005</v>
      </c>
      <c r="E11" s="51">
        <v>19</v>
      </c>
    </row>
    <row r="12" spans="1:5" x14ac:dyDescent="0.2">
      <c r="A12" s="50" t="s">
        <v>197</v>
      </c>
      <c r="B12" s="51">
        <v>10049</v>
      </c>
      <c r="C12" s="51">
        <v>71</v>
      </c>
      <c r="D12" s="51">
        <v>10065</v>
      </c>
      <c r="E12" s="51">
        <v>55</v>
      </c>
    </row>
    <row r="21" spans="1:5" x14ac:dyDescent="0.2">
      <c r="A21" s="50"/>
      <c r="B21" s="51"/>
      <c r="C21" s="51"/>
      <c r="D21" s="51"/>
      <c r="E21" s="51"/>
    </row>
    <row r="23" spans="1:5" ht="16" x14ac:dyDescent="0.2">
      <c r="A23" s="52" t="s">
        <v>107</v>
      </c>
    </row>
    <row r="25" spans="1:5" x14ac:dyDescent="0.2">
      <c r="A25" s="49" t="s">
        <v>108</v>
      </c>
      <c r="B25" t="s">
        <v>198</v>
      </c>
    </row>
    <row r="26" spans="1:5" x14ac:dyDescent="0.2">
      <c r="A26" s="49" t="s">
        <v>74</v>
      </c>
      <c r="B26" t="s">
        <v>198</v>
      </c>
    </row>
    <row r="28" spans="1:5" ht="34.5" x14ac:dyDescent="0.2">
      <c r="A28" s="55" t="s">
        <v>196</v>
      </c>
      <c r="B28" s="55" t="s">
        <v>175</v>
      </c>
      <c r="C28" s="55" t="s">
        <v>176</v>
      </c>
    </row>
    <row r="29" spans="1:5" x14ac:dyDescent="0.2">
      <c r="A29" s="50" t="s">
        <v>95</v>
      </c>
      <c r="B29" s="51">
        <v>2</v>
      </c>
      <c r="C29" s="51">
        <v>1</v>
      </c>
    </row>
    <row r="30" spans="1:5" x14ac:dyDescent="0.2">
      <c r="A30" s="50" t="s">
        <v>68</v>
      </c>
      <c r="B30" s="51">
        <v>45</v>
      </c>
      <c r="C30" s="51">
        <v>13</v>
      </c>
    </row>
    <row r="31" spans="1:5" x14ac:dyDescent="0.2">
      <c r="A31" s="50" t="s">
        <v>33</v>
      </c>
      <c r="B31" s="51">
        <v>24</v>
      </c>
      <c r="C31" s="51">
        <v>12</v>
      </c>
    </row>
    <row r="32" spans="1:5" x14ac:dyDescent="0.2">
      <c r="A32" s="50" t="s">
        <v>98</v>
      </c>
      <c r="B32" s="51">
        <v>8</v>
      </c>
      <c r="C32" s="51">
        <v>5</v>
      </c>
    </row>
    <row r="33" spans="1:3" x14ac:dyDescent="0.2">
      <c r="A33" s="50" t="s">
        <v>39</v>
      </c>
      <c r="B33" s="51">
        <v>3</v>
      </c>
      <c r="C33" s="51">
        <v>3</v>
      </c>
    </row>
    <row r="34" spans="1:3" x14ac:dyDescent="0.2">
      <c r="A34" s="50" t="s">
        <v>41</v>
      </c>
      <c r="B34" s="51">
        <v>8</v>
      </c>
      <c r="C34" s="51">
        <v>8</v>
      </c>
    </row>
    <row r="35" spans="1:3" x14ac:dyDescent="0.2">
      <c r="A35" s="50" t="s">
        <v>31</v>
      </c>
      <c r="B35" s="51">
        <v>23</v>
      </c>
      <c r="C35" s="51">
        <v>17</v>
      </c>
    </row>
    <row r="36" spans="1:3" x14ac:dyDescent="0.2">
      <c r="A36" s="50" t="s">
        <v>96</v>
      </c>
      <c r="B36" s="51">
        <v>0</v>
      </c>
      <c r="C36" s="51">
        <v>0</v>
      </c>
    </row>
    <row r="37" spans="1:3" x14ac:dyDescent="0.2">
      <c r="A37" s="50" t="s">
        <v>78</v>
      </c>
      <c r="B37" s="51">
        <v>26</v>
      </c>
      <c r="C37" s="51">
        <v>11</v>
      </c>
    </row>
    <row r="38" spans="1:3" x14ac:dyDescent="0.2">
      <c r="A38" s="50" t="s">
        <v>30</v>
      </c>
      <c r="B38" s="51">
        <v>12</v>
      </c>
      <c r="C38" s="51">
        <v>11</v>
      </c>
    </row>
    <row r="39" spans="1:3" x14ac:dyDescent="0.2">
      <c r="A39" s="50" t="s">
        <v>70</v>
      </c>
      <c r="B39" s="51">
        <v>38</v>
      </c>
      <c r="C39" s="51">
        <v>20</v>
      </c>
    </row>
    <row r="40" spans="1:3" x14ac:dyDescent="0.2">
      <c r="A40" s="50" t="s">
        <v>43</v>
      </c>
      <c r="B40" s="51">
        <v>10</v>
      </c>
      <c r="C40" s="51">
        <v>3</v>
      </c>
    </row>
    <row r="41" spans="1:3" x14ac:dyDescent="0.2">
      <c r="A41" s="50" t="s">
        <v>44</v>
      </c>
      <c r="B41" s="51">
        <v>14</v>
      </c>
      <c r="C41" s="51">
        <v>4</v>
      </c>
    </row>
    <row r="42" spans="1:3" x14ac:dyDescent="0.2">
      <c r="A42" s="50" t="s">
        <v>29</v>
      </c>
      <c r="B42" s="51">
        <v>26</v>
      </c>
      <c r="C42" s="51">
        <v>18</v>
      </c>
    </row>
    <row r="43" spans="1:3" x14ac:dyDescent="0.2">
      <c r="A43" s="50" t="s">
        <v>79</v>
      </c>
      <c r="B43" s="51">
        <v>28</v>
      </c>
      <c r="C43" s="51">
        <v>11</v>
      </c>
    </row>
    <row r="44" spans="1:3" x14ac:dyDescent="0.2">
      <c r="A44" s="50" t="s">
        <v>28</v>
      </c>
      <c r="B44" s="51">
        <v>29</v>
      </c>
      <c r="C44" s="51">
        <v>10</v>
      </c>
    </row>
    <row r="45" spans="1:3" x14ac:dyDescent="0.2">
      <c r="A45" s="50" t="s">
        <v>157</v>
      </c>
      <c r="B45" s="51">
        <v>0</v>
      </c>
      <c r="C45" s="51">
        <v>0</v>
      </c>
    </row>
    <row r="46" spans="1:3" x14ac:dyDescent="0.2">
      <c r="A46" s="50" t="s">
        <v>80</v>
      </c>
      <c r="B46" s="51">
        <v>22</v>
      </c>
      <c r="C46" s="51">
        <v>10</v>
      </c>
    </row>
    <row r="47" spans="1:3" x14ac:dyDescent="0.2">
      <c r="A47" s="50" t="s">
        <v>45</v>
      </c>
      <c r="B47" s="51">
        <v>31</v>
      </c>
      <c r="C47" s="51">
        <v>14</v>
      </c>
    </row>
    <row r="48" spans="1:3" x14ac:dyDescent="0.2">
      <c r="A48" s="50" t="s">
        <v>46</v>
      </c>
      <c r="B48" s="51">
        <v>26</v>
      </c>
      <c r="C48" s="51">
        <v>18</v>
      </c>
    </row>
    <row r="49" spans="1:3" x14ac:dyDescent="0.2">
      <c r="A49" s="50" t="s">
        <v>158</v>
      </c>
      <c r="B49" s="51">
        <v>4</v>
      </c>
      <c r="C49" s="51">
        <v>0</v>
      </c>
    </row>
    <row r="50" spans="1:3" x14ac:dyDescent="0.2">
      <c r="A50" s="50" t="s">
        <v>47</v>
      </c>
      <c r="B50" s="51">
        <v>6</v>
      </c>
      <c r="C50" s="51">
        <v>6</v>
      </c>
    </row>
    <row r="51" spans="1:3" x14ac:dyDescent="0.2">
      <c r="A51" s="50" t="s">
        <v>48</v>
      </c>
      <c r="B51" s="51">
        <v>14</v>
      </c>
      <c r="C51" s="51">
        <v>8</v>
      </c>
    </row>
    <row r="52" spans="1:3" x14ac:dyDescent="0.2">
      <c r="A52" s="50" t="s">
        <v>50</v>
      </c>
      <c r="B52" s="51">
        <v>13</v>
      </c>
      <c r="C52" s="51">
        <v>13</v>
      </c>
    </row>
    <row r="53" spans="1:3" x14ac:dyDescent="0.2">
      <c r="A53" s="50" t="s">
        <v>51</v>
      </c>
      <c r="B53" s="51">
        <v>26</v>
      </c>
      <c r="C53" s="51">
        <v>8</v>
      </c>
    </row>
    <row r="54" spans="1:3" x14ac:dyDescent="0.2">
      <c r="A54" s="50" t="s">
        <v>52</v>
      </c>
      <c r="B54" s="51">
        <v>31</v>
      </c>
      <c r="C54" s="51">
        <v>12</v>
      </c>
    </row>
    <row r="55" spans="1:3" x14ac:dyDescent="0.2">
      <c r="A55" s="50" t="s">
        <v>67</v>
      </c>
      <c r="B55" s="51">
        <v>5</v>
      </c>
      <c r="C55" s="51">
        <v>2</v>
      </c>
    </row>
    <row r="56" spans="1:3" x14ac:dyDescent="0.2">
      <c r="A56" s="50" t="s">
        <v>139</v>
      </c>
      <c r="B56" s="51">
        <v>14</v>
      </c>
      <c r="C56" s="51">
        <v>10</v>
      </c>
    </row>
    <row r="57" spans="1:3" x14ac:dyDescent="0.2">
      <c r="A57" s="50" t="s">
        <v>26</v>
      </c>
      <c r="B57" s="51">
        <v>18</v>
      </c>
      <c r="C57" s="51">
        <v>18</v>
      </c>
    </row>
    <row r="58" spans="1:3" x14ac:dyDescent="0.2">
      <c r="A58" s="50" t="s">
        <v>99</v>
      </c>
      <c r="B58" s="51">
        <v>17</v>
      </c>
      <c r="C58" s="51">
        <v>2</v>
      </c>
    </row>
    <row r="59" spans="1:3" x14ac:dyDescent="0.2">
      <c r="A59" s="50" t="s">
        <v>24</v>
      </c>
      <c r="B59" s="51">
        <v>24</v>
      </c>
      <c r="C59" s="51">
        <v>18</v>
      </c>
    </row>
    <row r="60" spans="1:3" x14ac:dyDescent="0.2">
      <c r="A60" s="50" t="s">
        <v>53</v>
      </c>
      <c r="B60" s="51">
        <v>23</v>
      </c>
      <c r="C60" s="51">
        <v>15</v>
      </c>
    </row>
    <row r="61" spans="1:3" x14ac:dyDescent="0.2">
      <c r="A61" s="50" t="s">
        <v>54</v>
      </c>
      <c r="B61" s="51">
        <v>24</v>
      </c>
      <c r="C61" s="51">
        <v>17</v>
      </c>
    </row>
    <row r="62" spans="1:3" x14ac:dyDescent="0.2">
      <c r="A62" s="50" t="s">
        <v>56</v>
      </c>
      <c r="B62" s="51">
        <v>9</v>
      </c>
      <c r="C62" s="51">
        <v>9</v>
      </c>
    </row>
    <row r="63" spans="1:3" x14ac:dyDescent="0.2">
      <c r="A63" s="50" t="s">
        <v>57</v>
      </c>
      <c r="B63" s="51">
        <v>4</v>
      </c>
      <c r="C63" s="51">
        <v>4</v>
      </c>
    </row>
    <row r="64" spans="1:3" x14ac:dyDescent="0.2">
      <c r="A64" s="50" t="s">
        <v>22</v>
      </c>
      <c r="B64" s="51">
        <v>26</v>
      </c>
      <c r="C64" s="51">
        <v>20</v>
      </c>
    </row>
    <row r="65" spans="1:3" x14ac:dyDescent="0.2">
      <c r="A65" s="50" t="s">
        <v>199</v>
      </c>
      <c r="B65" s="51">
        <v>20</v>
      </c>
      <c r="C65" s="51">
        <v>6</v>
      </c>
    </row>
    <row r="66" spans="1:3" x14ac:dyDescent="0.2">
      <c r="A66" s="50" t="s">
        <v>21</v>
      </c>
      <c r="B66" s="51">
        <v>28</v>
      </c>
      <c r="C66" s="51">
        <v>24</v>
      </c>
    </row>
    <row r="67" spans="1:3" x14ac:dyDescent="0.2">
      <c r="A67" s="50" t="s">
        <v>58</v>
      </c>
      <c r="B67" s="51">
        <v>20</v>
      </c>
      <c r="C67" s="51">
        <v>10</v>
      </c>
    </row>
    <row r="68" spans="1:3" x14ac:dyDescent="0.2">
      <c r="A68" s="50" t="s">
        <v>19</v>
      </c>
      <c r="B68" s="51">
        <v>18</v>
      </c>
      <c r="C68" s="51">
        <v>13</v>
      </c>
    </row>
    <row r="69" spans="1:3" x14ac:dyDescent="0.2">
      <c r="A69" s="50" t="s">
        <v>88</v>
      </c>
      <c r="B69" s="51">
        <v>17</v>
      </c>
      <c r="C69" s="51">
        <v>1</v>
      </c>
    </row>
    <row r="70" spans="1:3" x14ac:dyDescent="0.2">
      <c r="A70" s="50" t="s">
        <v>60</v>
      </c>
      <c r="B70" s="51">
        <v>6</v>
      </c>
      <c r="C70" s="51">
        <v>3</v>
      </c>
    </row>
    <row r="71" spans="1:3" x14ac:dyDescent="0.2">
      <c r="A71" s="50" t="s">
        <v>61</v>
      </c>
      <c r="B71" s="51">
        <v>5</v>
      </c>
      <c r="C71" s="51">
        <v>5</v>
      </c>
    </row>
    <row r="72" spans="1:3" x14ac:dyDescent="0.2">
      <c r="A72" s="50" t="s">
        <v>62</v>
      </c>
      <c r="B72" s="51">
        <v>26</v>
      </c>
      <c r="C72" s="51">
        <v>20</v>
      </c>
    </row>
    <row r="73" spans="1:3" x14ac:dyDescent="0.2">
      <c r="A73" s="50" t="s">
        <v>92</v>
      </c>
      <c r="B73" s="51">
        <v>6</v>
      </c>
      <c r="C73" s="51">
        <v>1</v>
      </c>
    </row>
    <row r="74" spans="1:3" x14ac:dyDescent="0.2">
      <c r="A74" s="50" t="s">
        <v>18</v>
      </c>
      <c r="B74" s="51">
        <v>32</v>
      </c>
      <c r="C74" s="51">
        <v>17</v>
      </c>
    </row>
    <row r="75" spans="1:3" x14ac:dyDescent="0.2">
      <c r="A75" s="50" t="s">
        <v>138</v>
      </c>
      <c r="B75" s="51">
        <v>43</v>
      </c>
      <c r="C75" s="51">
        <v>37</v>
      </c>
    </row>
    <row r="76" spans="1:3" x14ac:dyDescent="0.2">
      <c r="A76" s="50" t="s">
        <v>17</v>
      </c>
      <c r="B76" s="51">
        <v>25</v>
      </c>
      <c r="C76" s="51">
        <v>25</v>
      </c>
    </row>
    <row r="77" spans="1:3" x14ac:dyDescent="0.2">
      <c r="A77" s="50" t="s">
        <v>15</v>
      </c>
      <c r="B77" s="51">
        <v>17</v>
      </c>
      <c r="C77" s="51">
        <v>10</v>
      </c>
    </row>
    <row r="78" spans="1:3" x14ac:dyDescent="0.2">
      <c r="A78" s="50" t="s">
        <v>14</v>
      </c>
      <c r="B78" s="51">
        <v>14</v>
      </c>
      <c r="C78" s="51">
        <v>14</v>
      </c>
    </row>
    <row r="79" spans="1:3" x14ac:dyDescent="0.2">
      <c r="A79" s="50" t="s">
        <v>72</v>
      </c>
      <c r="B79" s="51">
        <v>25</v>
      </c>
      <c r="C79" s="51">
        <v>9</v>
      </c>
    </row>
    <row r="80" spans="1:3" x14ac:dyDescent="0.2">
      <c r="A80" s="50" t="s">
        <v>63</v>
      </c>
      <c r="B80" s="51">
        <v>18</v>
      </c>
      <c r="C80" s="51">
        <v>13</v>
      </c>
    </row>
    <row r="81" spans="1:3" x14ac:dyDescent="0.2">
      <c r="A81" s="50" t="s">
        <v>200</v>
      </c>
      <c r="B81" s="51">
        <v>34</v>
      </c>
      <c r="C81" s="51">
        <v>32</v>
      </c>
    </row>
    <row r="82" spans="1:3" x14ac:dyDescent="0.2">
      <c r="A82" s="50" t="s">
        <v>87</v>
      </c>
      <c r="B82" s="51">
        <v>13</v>
      </c>
      <c r="C82" s="51">
        <v>1</v>
      </c>
    </row>
    <row r="83" spans="1:3" x14ac:dyDescent="0.2">
      <c r="A83" s="50" t="s">
        <v>94</v>
      </c>
      <c r="B83" s="51">
        <v>3</v>
      </c>
      <c r="C83" s="51">
        <v>1</v>
      </c>
    </row>
    <row r="84" spans="1:3" x14ac:dyDescent="0.2">
      <c r="A84" s="50" t="s">
        <v>90</v>
      </c>
      <c r="B84" s="51">
        <v>12</v>
      </c>
      <c r="C84" s="51">
        <v>1</v>
      </c>
    </row>
    <row r="85" spans="1:3" x14ac:dyDescent="0.2">
      <c r="A85" s="50" t="s">
        <v>12</v>
      </c>
      <c r="B85" s="51">
        <v>40</v>
      </c>
      <c r="C85" s="51">
        <v>18</v>
      </c>
    </row>
    <row r="86" spans="1:3" x14ac:dyDescent="0.2">
      <c r="A86" s="50" t="s">
        <v>156</v>
      </c>
      <c r="B86" s="51">
        <v>5</v>
      </c>
      <c r="C86" s="51">
        <v>0</v>
      </c>
    </row>
    <row r="87" spans="1:3" x14ac:dyDescent="0.2">
      <c r="A87" s="50" t="s">
        <v>11</v>
      </c>
      <c r="B87" s="51">
        <v>23</v>
      </c>
      <c r="C87" s="51">
        <v>18</v>
      </c>
    </row>
    <row r="88" spans="1:3" x14ac:dyDescent="0.2">
      <c r="A88" s="50" t="s">
        <v>140</v>
      </c>
      <c r="B88" s="51">
        <v>41</v>
      </c>
      <c r="C88" s="51">
        <v>24</v>
      </c>
    </row>
    <row r="89" spans="1:3" x14ac:dyDescent="0.2">
      <c r="A89" s="50" t="s">
        <v>9</v>
      </c>
      <c r="B89" s="51">
        <v>35</v>
      </c>
      <c r="C89" s="51">
        <v>12</v>
      </c>
    </row>
    <row r="90" spans="1:3" x14ac:dyDescent="0.2">
      <c r="A90" s="50" t="s">
        <v>7</v>
      </c>
      <c r="B90" s="51">
        <v>25</v>
      </c>
      <c r="C90" s="51">
        <v>19</v>
      </c>
    </row>
    <row r="91" spans="1:3" x14ac:dyDescent="0.2">
      <c r="A91" s="50" t="s">
        <v>64</v>
      </c>
      <c r="B91" s="51">
        <v>19</v>
      </c>
      <c r="C91" s="51">
        <v>19</v>
      </c>
    </row>
    <row r="92" spans="1:3" x14ac:dyDescent="0.2">
      <c r="A92" s="50" t="s">
        <v>84</v>
      </c>
      <c r="B92" s="51">
        <v>2</v>
      </c>
      <c r="C92" s="51">
        <v>1</v>
      </c>
    </row>
    <row r="93" spans="1:3" x14ac:dyDescent="0.2">
      <c r="A93" s="50" t="s">
        <v>5</v>
      </c>
      <c r="B93" s="51">
        <v>33</v>
      </c>
      <c r="C93" s="51">
        <v>14</v>
      </c>
    </row>
    <row r="94" spans="1:3" x14ac:dyDescent="0.2">
      <c r="A94" s="50" t="s">
        <v>93</v>
      </c>
      <c r="B94" s="51">
        <v>16</v>
      </c>
      <c r="C94" s="51">
        <v>8</v>
      </c>
    </row>
    <row r="95" spans="1:3" x14ac:dyDescent="0.2">
      <c r="A95" s="50" t="s">
        <v>65</v>
      </c>
      <c r="B95" s="51">
        <v>19</v>
      </c>
      <c r="C95" s="51">
        <v>18</v>
      </c>
    </row>
    <row r="96" spans="1:3" x14ac:dyDescent="0.2">
      <c r="A96" s="50" t="s">
        <v>4</v>
      </c>
      <c r="B96" s="51">
        <v>24</v>
      </c>
      <c r="C96" s="51">
        <v>11</v>
      </c>
    </row>
    <row r="97" spans="1:3" x14ac:dyDescent="0.2">
      <c r="A97" s="50" t="s">
        <v>2</v>
      </c>
      <c r="B97" s="51">
        <v>16</v>
      </c>
      <c r="C97" s="51">
        <v>14</v>
      </c>
    </row>
    <row r="98" spans="1:3" x14ac:dyDescent="0.2">
      <c r="A98" s="50" t="s">
        <v>0</v>
      </c>
      <c r="B98" s="51">
        <v>34</v>
      </c>
      <c r="C98" s="51">
        <v>16</v>
      </c>
    </row>
    <row r="99" spans="1:3" x14ac:dyDescent="0.2">
      <c r="A99" s="50" t="s">
        <v>201</v>
      </c>
      <c r="B99" s="51"/>
      <c r="C99" s="51"/>
    </row>
    <row r="100" spans="1:3" x14ac:dyDescent="0.2">
      <c r="A100" s="50" t="s">
        <v>187</v>
      </c>
      <c r="B100" s="51">
        <v>7</v>
      </c>
      <c r="C100" s="51">
        <v>7</v>
      </c>
    </row>
    <row r="101" spans="1:3" x14ac:dyDescent="0.2">
      <c r="A101" s="50" t="s">
        <v>188</v>
      </c>
      <c r="B101" s="51">
        <v>13</v>
      </c>
      <c r="C101" s="51">
        <v>13</v>
      </c>
    </row>
    <row r="102" spans="1:3" x14ac:dyDescent="0.2">
      <c r="A102" s="50" t="s">
        <v>190</v>
      </c>
      <c r="B102" s="51">
        <v>1</v>
      </c>
      <c r="C102" s="51">
        <v>1</v>
      </c>
    </row>
    <row r="103" spans="1:3" x14ac:dyDescent="0.2">
      <c r="A103" s="50" t="s">
        <v>189</v>
      </c>
      <c r="B103" s="51">
        <v>4</v>
      </c>
      <c r="C103" s="51">
        <v>2</v>
      </c>
    </row>
    <row r="104" spans="1:3" x14ac:dyDescent="0.2">
      <c r="A104" s="50" t="s">
        <v>197</v>
      </c>
      <c r="B104" s="51">
        <v>18.54054054054054</v>
      </c>
      <c r="C104" s="51">
        <v>10.932432432432432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87E75-CDE2-475C-9426-AA1DE6572957}">
  <sheetPr>
    <tabColor theme="0" tint="-0.499984740745262"/>
    <pageSetUpPr fitToPage="1"/>
  </sheetPr>
  <dimension ref="A1:DO137"/>
  <sheetViews>
    <sheetView zoomScale="175" zoomScaleNormal="175" workbookViewId="0">
      <pane ySplit="1" topLeftCell="A65" activePane="bottomLeft" state="frozen"/>
      <selection pane="bottomLeft" activeCell="C82" sqref="C82"/>
    </sheetView>
  </sheetViews>
  <sheetFormatPr baseColWidth="10" defaultColWidth="11.109375" defaultRowHeight="10" x14ac:dyDescent="0.2"/>
  <cols>
    <col min="1" max="3" width="41.6640625" customWidth="1"/>
    <col min="4" max="4" width="35" style="2" bestFit="1" customWidth="1"/>
    <col min="5" max="6" width="38.6640625" customWidth="1"/>
    <col min="7" max="7" width="56.77734375" customWidth="1"/>
    <col min="8" max="8" width="31.77734375" customWidth="1"/>
    <col min="9" max="9" width="31.33203125" customWidth="1"/>
    <col min="10" max="10" width="30.33203125" customWidth="1"/>
    <col min="11" max="11" width="29.33203125" customWidth="1"/>
    <col min="12" max="12" width="29" customWidth="1"/>
  </cols>
  <sheetData>
    <row r="1" spans="1:119" s="1" customFormat="1" ht="30" customHeight="1" x14ac:dyDescent="0.25">
      <c r="A1" s="3" t="s">
        <v>38</v>
      </c>
      <c r="B1" s="3" t="s">
        <v>231</v>
      </c>
      <c r="C1" s="3" t="s">
        <v>229</v>
      </c>
      <c r="D1" s="3" t="s">
        <v>108</v>
      </c>
      <c r="E1" s="3" t="s">
        <v>74</v>
      </c>
      <c r="F1" s="3" t="s">
        <v>222</v>
      </c>
      <c r="G1" s="3" t="s">
        <v>83</v>
      </c>
      <c r="H1" s="25" t="s">
        <v>37</v>
      </c>
      <c r="I1" s="25" t="s">
        <v>36</v>
      </c>
      <c r="J1" s="25" t="s">
        <v>35</v>
      </c>
      <c r="K1" s="25" t="s">
        <v>34</v>
      </c>
    </row>
    <row r="2" spans="1:119" ht="12.5" x14ac:dyDescent="0.2">
      <c r="A2" s="56" t="s">
        <v>95</v>
      </c>
      <c r="B2" s="56" t="s">
        <v>353</v>
      </c>
      <c r="C2" s="56" t="s">
        <v>354</v>
      </c>
      <c r="D2" s="57" t="s">
        <v>163</v>
      </c>
      <c r="E2" s="56" t="s">
        <v>77</v>
      </c>
      <c r="F2" s="56" t="s">
        <v>77</v>
      </c>
      <c r="G2" s="58" t="s">
        <v>210</v>
      </c>
      <c r="H2" s="57">
        <v>2022</v>
      </c>
      <c r="I2" s="57">
        <f t="shared" ref="I2:I38" ca="1" si="0">YEAR(TODAY())-H2</f>
        <v>4</v>
      </c>
      <c r="J2" s="57">
        <v>2023</v>
      </c>
      <c r="K2" s="59">
        <f t="shared" ref="K2:K33" ca="1" si="1">YEAR(TODAY())-J2</f>
        <v>3</v>
      </c>
    </row>
    <row r="3" spans="1:119" ht="25" hidden="1" x14ac:dyDescent="0.2">
      <c r="A3" s="60" t="s">
        <v>68</v>
      </c>
      <c r="B3" s="56" t="s">
        <v>355</v>
      </c>
      <c r="C3" s="56" t="s">
        <v>355</v>
      </c>
      <c r="D3" s="61" t="s">
        <v>227</v>
      </c>
      <c r="E3" s="60" t="s">
        <v>228</v>
      </c>
      <c r="F3" s="56"/>
      <c r="G3" s="58" t="s">
        <v>69</v>
      </c>
      <c r="H3" s="58">
        <v>1979</v>
      </c>
      <c r="I3" s="62">
        <f t="shared" ca="1" si="0"/>
        <v>47</v>
      </c>
      <c r="J3" s="58">
        <v>2011</v>
      </c>
      <c r="K3" s="63">
        <f t="shared" ca="1" si="1"/>
        <v>15</v>
      </c>
    </row>
    <row r="4" spans="1:119" ht="37.5" x14ac:dyDescent="0.2">
      <c r="A4" s="60" t="s">
        <v>33</v>
      </c>
      <c r="B4" s="56" t="s">
        <v>356</v>
      </c>
      <c r="C4" s="56" t="s">
        <v>357</v>
      </c>
      <c r="D4" s="61" t="s">
        <v>172</v>
      </c>
      <c r="E4" s="60" t="s">
        <v>76</v>
      </c>
      <c r="F4" s="56"/>
      <c r="G4" s="62" t="s">
        <v>32</v>
      </c>
      <c r="H4" s="62">
        <v>2000</v>
      </c>
      <c r="I4" s="62">
        <f t="shared" ca="1" si="0"/>
        <v>26</v>
      </c>
      <c r="J4" s="62">
        <v>2012</v>
      </c>
      <c r="K4" s="63">
        <f t="shared" ca="1" si="1"/>
        <v>14</v>
      </c>
    </row>
    <row r="5" spans="1:119" ht="12.5" x14ac:dyDescent="0.2">
      <c r="A5" s="56" t="s">
        <v>190</v>
      </c>
      <c r="B5" s="56" t="s">
        <v>358</v>
      </c>
      <c r="C5" s="56" t="s">
        <v>359</v>
      </c>
      <c r="D5" s="57" t="s">
        <v>186</v>
      </c>
      <c r="E5" s="56" t="s">
        <v>192</v>
      </c>
      <c r="F5" s="56"/>
      <c r="G5" s="56" t="s">
        <v>192</v>
      </c>
      <c r="H5" s="64">
        <v>2023</v>
      </c>
      <c r="I5" s="57">
        <f t="shared" ca="1" si="0"/>
        <v>3</v>
      </c>
      <c r="J5" s="64">
        <v>2023</v>
      </c>
      <c r="K5" s="59">
        <f t="shared" ca="1" si="1"/>
        <v>3</v>
      </c>
    </row>
    <row r="6" spans="1:119" ht="12" customHeight="1" x14ac:dyDescent="0.2">
      <c r="A6" s="56" t="s">
        <v>203</v>
      </c>
      <c r="B6" s="56" t="s">
        <v>360</v>
      </c>
      <c r="C6" s="56" t="s">
        <v>361</v>
      </c>
      <c r="D6" s="61" t="s">
        <v>174</v>
      </c>
      <c r="E6" s="56" t="s">
        <v>77</v>
      </c>
      <c r="F6" s="56" t="s">
        <v>219</v>
      </c>
      <c r="G6" s="56" t="s">
        <v>213</v>
      </c>
      <c r="H6" s="64">
        <v>2024</v>
      </c>
      <c r="I6" s="57">
        <f t="shared" ca="1" si="0"/>
        <v>2</v>
      </c>
      <c r="J6" s="64">
        <v>2025</v>
      </c>
      <c r="K6" s="59">
        <f t="shared" ca="1" si="1"/>
        <v>1</v>
      </c>
    </row>
    <row r="7" spans="1:119" ht="12" customHeight="1" x14ac:dyDescent="0.2">
      <c r="A7" s="56" t="s">
        <v>189</v>
      </c>
      <c r="B7" s="56" t="s">
        <v>362</v>
      </c>
      <c r="C7" s="56" t="s">
        <v>363</v>
      </c>
      <c r="D7" s="57" t="s">
        <v>186</v>
      </c>
      <c r="E7" s="56" t="s">
        <v>192</v>
      </c>
      <c r="F7" s="56"/>
      <c r="G7" s="56" t="s">
        <v>192</v>
      </c>
      <c r="H7" s="64">
        <v>2020</v>
      </c>
      <c r="I7" s="57">
        <f t="shared" ca="1" si="0"/>
        <v>6</v>
      </c>
      <c r="J7" s="64">
        <v>2022</v>
      </c>
      <c r="K7" s="59">
        <f t="shared" ca="1" si="1"/>
        <v>4</v>
      </c>
    </row>
    <row r="8" spans="1:119" ht="12.5" x14ac:dyDescent="0.2">
      <c r="A8" s="56" t="s">
        <v>98</v>
      </c>
      <c r="B8" s="56" t="s">
        <v>364</v>
      </c>
      <c r="C8" s="56" t="s">
        <v>365</v>
      </c>
      <c r="D8" s="61" t="s">
        <v>162</v>
      </c>
      <c r="E8" s="56" t="s">
        <v>77</v>
      </c>
      <c r="F8" s="56" t="s">
        <v>77</v>
      </c>
      <c r="G8" s="58" t="s">
        <v>194</v>
      </c>
      <c r="H8" s="58">
        <v>2016</v>
      </c>
      <c r="I8" s="62">
        <f t="shared" ca="1" si="0"/>
        <v>10</v>
      </c>
      <c r="J8" s="58">
        <v>2019</v>
      </c>
      <c r="K8" s="59">
        <f t="shared" ca="1" si="1"/>
        <v>7</v>
      </c>
    </row>
    <row r="9" spans="1:119" ht="12.5" x14ac:dyDescent="0.2">
      <c r="A9" s="56" t="s">
        <v>41</v>
      </c>
      <c r="B9" s="56" t="s">
        <v>366</v>
      </c>
      <c r="C9" s="56" t="s">
        <v>367</v>
      </c>
      <c r="D9" s="61" t="s">
        <v>162</v>
      </c>
      <c r="E9" s="56" t="s">
        <v>77</v>
      </c>
      <c r="F9" s="56" t="s">
        <v>77</v>
      </c>
      <c r="G9" s="58" t="s">
        <v>194</v>
      </c>
      <c r="H9" s="57">
        <v>2016</v>
      </c>
      <c r="I9" s="62">
        <f t="shared" ca="1" si="0"/>
        <v>10</v>
      </c>
      <c r="J9" s="57">
        <v>2016</v>
      </c>
      <c r="K9" s="59">
        <f t="shared" ca="1" si="1"/>
        <v>10</v>
      </c>
    </row>
    <row r="10" spans="1:119" ht="25" x14ac:dyDescent="0.2">
      <c r="A10" s="60" t="s">
        <v>31</v>
      </c>
      <c r="B10" s="56" t="s">
        <v>368</v>
      </c>
      <c r="C10" s="56" t="s">
        <v>369</v>
      </c>
      <c r="D10" s="61" t="s">
        <v>174</v>
      </c>
      <c r="E10" s="60" t="s">
        <v>76</v>
      </c>
      <c r="F10" s="56"/>
      <c r="G10" s="62" t="s">
        <v>159</v>
      </c>
      <c r="H10" s="62">
        <v>2001</v>
      </c>
      <c r="I10" s="62">
        <f t="shared" ca="1" si="0"/>
        <v>25</v>
      </c>
      <c r="J10" s="62">
        <v>2007</v>
      </c>
      <c r="K10" s="63">
        <f t="shared" ca="1" si="1"/>
        <v>19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</row>
    <row r="11" spans="1:119" ht="12.5" x14ac:dyDescent="0.2">
      <c r="A11" s="56" t="s">
        <v>96</v>
      </c>
      <c r="B11" s="56" t="s">
        <v>370</v>
      </c>
      <c r="C11" s="56" t="s">
        <v>371</v>
      </c>
      <c r="D11" s="61" t="s">
        <v>161</v>
      </c>
      <c r="E11" s="60" t="s">
        <v>77</v>
      </c>
      <c r="F11" s="60" t="s">
        <v>220</v>
      </c>
      <c r="G11" s="58" t="s">
        <v>97</v>
      </c>
      <c r="H11" s="57">
        <v>2024</v>
      </c>
      <c r="I11" s="57">
        <f t="shared" ca="1" si="0"/>
        <v>2</v>
      </c>
      <c r="J11" s="57">
        <v>2024</v>
      </c>
      <c r="K11" s="59">
        <f t="shared" ca="1" si="1"/>
        <v>2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</row>
    <row r="12" spans="1:119" ht="12.5" x14ac:dyDescent="0.2">
      <c r="A12" s="56" t="s">
        <v>282</v>
      </c>
      <c r="B12" s="56" t="s">
        <v>372</v>
      </c>
      <c r="C12" s="56" t="s">
        <v>373</v>
      </c>
      <c r="D12" s="61" t="s">
        <v>161</v>
      </c>
      <c r="E12" s="56" t="s">
        <v>77</v>
      </c>
      <c r="F12" s="56" t="s">
        <v>77</v>
      </c>
      <c r="G12" s="58" t="s">
        <v>42</v>
      </c>
      <c r="H12" s="57"/>
      <c r="I12" s="57">
        <f t="shared" ca="1" si="0"/>
        <v>2026</v>
      </c>
      <c r="J12" s="57">
        <v>2026</v>
      </c>
      <c r="K12" s="59">
        <f t="shared" ca="1" si="1"/>
        <v>0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</row>
    <row r="13" spans="1:119" ht="12.5" x14ac:dyDescent="0.2">
      <c r="A13" s="56" t="s">
        <v>78</v>
      </c>
      <c r="B13" s="56" t="s">
        <v>374</v>
      </c>
      <c r="C13" s="56" t="s">
        <v>375</v>
      </c>
      <c r="D13" s="57" t="s">
        <v>81</v>
      </c>
      <c r="E13" s="56" t="s">
        <v>81</v>
      </c>
      <c r="F13" s="56"/>
      <c r="G13" s="58" t="s">
        <v>85</v>
      </c>
      <c r="H13" s="57">
        <v>1998</v>
      </c>
      <c r="I13" s="57">
        <f t="shared" ca="1" si="0"/>
        <v>28</v>
      </c>
      <c r="J13" s="57">
        <v>2013</v>
      </c>
      <c r="K13" s="59">
        <f t="shared" ca="1" si="1"/>
        <v>13</v>
      </c>
    </row>
    <row r="14" spans="1:119" ht="25" x14ac:dyDescent="0.2">
      <c r="A14" s="56" t="s">
        <v>30</v>
      </c>
      <c r="B14" s="56" t="s">
        <v>376</v>
      </c>
      <c r="C14" s="56" t="s">
        <v>377</v>
      </c>
      <c r="D14" s="57" t="s">
        <v>163</v>
      </c>
      <c r="E14" s="60" t="s">
        <v>76</v>
      </c>
      <c r="F14" s="60"/>
      <c r="G14" s="62" t="s">
        <v>211</v>
      </c>
      <c r="H14" s="61">
        <v>2012</v>
      </c>
      <c r="I14" s="62">
        <f t="shared" ca="1" si="0"/>
        <v>14</v>
      </c>
      <c r="J14" s="62">
        <v>2013</v>
      </c>
      <c r="K14" s="63">
        <f t="shared" ca="1" si="1"/>
        <v>13</v>
      </c>
    </row>
    <row r="15" spans="1:119" ht="12.5" x14ac:dyDescent="0.2">
      <c r="A15" s="60" t="s">
        <v>70</v>
      </c>
      <c r="B15" s="56" t="s">
        <v>378</v>
      </c>
      <c r="C15" s="56" t="s">
        <v>379</v>
      </c>
      <c r="D15" s="61" t="s">
        <v>75</v>
      </c>
      <c r="E15" s="60" t="s">
        <v>75</v>
      </c>
      <c r="F15" s="60"/>
      <c r="G15" s="58" t="s">
        <v>71</v>
      </c>
      <c r="H15" s="58">
        <v>1986</v>
      </c>
      <c r="I15" s="62">
        <f t="shared" ca="1" si="0"/>
        <v>40</v>
      </c>
      <c r="J15" s="58">
        <v>2004</v>
      </c>
      <c r="K15" s="63">
        <f t="shared" ca="1" si="1"/>
        <v>22</v>
      </c>
    </row>
    <row r="16" spans="1:119" ht="12.5" x14ac:dyDescent="0.2">
      <c r="A16" s="56" t="s">
        <v>43</v>
      </c>
      <c r="B16" s="56" t="s">
        <v>380</v>
      </c>
      <c r="C16" s="56" t="s">
        <v>381</v>
      </c>
      <c r="D16" s="61" t="s">
        <v>162</v>
      </c>
      <c r="E16" s="56" t="s">
        <v>77</v>
      </c>
      <c r="F16" s="56" t="s">
        <v>77</v>
      </c>
      <c r="G16" s="58" t="s">
        <v>106</v>
      </c>
      <c r="H16" s="57">
        <v>2014</v>
      </c>
      <c r="I16" s="62">
        <f t="shared" ca="1" si="0"/>
        <v>12</v>
      </c>
      <c r="J16" s="57">
        <v>2021</v>
      </c>
      <c r="K16" s="59">
        <f t="shared" ca="1" si="1"/>
        <v>5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</row>
    <row r="17" spans="1:119" ht="12.5" hidden="1" x14ac:dyDescent="0.2">
      <c r="A17" s="56" t="s">
        <v>204</v>
      </c>
      <c r="B17" s="56" t="s">
        <v>382</v>
      </c>
      <c r="C17" s="56" t="s">
        <v>355</v>
      </c>
      <c r="D17" s="57" t="s">
        <v>205</v>
      </c>
      <c r="E17" s="60" t="s">
        <v>77</v>
      </c>
      <c r="F17" s="56" t="s">
        <v>77</v>
      </c>
      <c r="G17" s="62" t="s">
        <v>206</v>
      </c>
      <c r="H17" s="61">
        <v>2024</v>
      </c>
      <c r="I17" s="62">
        <f t="shared" ca="1" si="0"/>
        <v>2</v>
      </c>
      <c r="J17" s="62">
        <v>2024</v>
      </c>
      <c r="K17" s="63">
        <f t="shared" ca="1" si="1"/>
        <v>2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</row>
    <row r="18" spans="1:119" ht="12.5" x14ac:dyDescent="0.2">
      <c r="A18" s="56" t="s">
        <v>44</v>
      </c>
      <c r="B18" s="56" t="s">
        <v>383</v>
      </c>
      <c r="C18" s="56" t="s">
        <v>384</v>
      </c>
      <c r="D18" s="57" t="s">
        <v>163</v>
      </c>
      <c r="E18" s="56" t="s">
        <v>77</v>
      </c>
      <c r="F18" s="56" t="s">
        <v>195</v>
      </c>
      <c r="G18" s="58" t="s">
        <v>104</v>
      </c>
      <c r="H18" s="57">
        <v>2010</v>
      </c>
      <c r="I18" s="62">
        <f t="shared" ca="1" si="0"/>
        <v>16</v>
      </c>
      <c r="J18" s="57">
        <v>2020</v>
      </c>
      <c r="K18" s="59">
        <f t="shared" ca="1" si="1"/>
        <v>6</v>
      </c>
    </row>
    <row r="19" spans="1:119" ht="25" x14ac:dyDescent="0.2">
      <c r="A19" s="60" t="s">
        <v>29</v>
      </c>
      <c r="B19" s="56" t="s">
        <v>385</v>
      </c>
      <c r="C19" s="56" t="s">
        <v>386</v>
      </c>
      <c r="D19" s="61" t="s">
        <v>161</v>
      </c>
      <c r="E19" s="60" t="s">
        <v>75</v>
      </c>
      <c r="F19" s="60" t="s">
        <v>76</v>
      </c>
      <c r="G19" s="62" t="s">
        <v>102</v>
      </c>
      <c r="H19" s="61">
        <v>1998</v>
      </c>
      <c r="I19" s="62">
        <f t="shared" ca="1" si="0"/>
        <v>28</v>
      </c>
      <c r="J19" s="62">
        <v>2006</v>
      </c>
      <c r="K19" s="63">
        <f t="shared" ca="1" si="1"/>
        <v>20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</row>
    <row r="20" spans="1:119" ht="12.5" x14ac:dyDescent="0.2">
      <c r="A20" s="56" t="s">
        <v>79</v>
      </c>
      <c r="B20" s="56" t="s">
        <v>387</v>
      </c>
      <c r="C20" s="56" t="s">
        <v>388</v>
      </c>
      <c r="D20" s="57" t="s">
        <v>81</v>
      </c>
      <c r="E20" s="56" t="s">
        <v>81</v>
      </c>
      <c r="F20" s="56"/>
      <c r="G20" s="58" t="s">
        <v>82</v>
      </c>
      <c r="H20" s="57">
        <v>1996</v>
      </c>
      <c r="I20" s="57">
        <f t="shared" ca="1" si="0"/>
        <v>30</v>
      </c>
      <c r="J20" s="57">
        <v>2013</v>
      </c>
      <c r="K20" s="59">
        <f t="shared" ca="1" si="1"/>
        <v>13</v>
      </c>
    </row>
    <row r="21" spans="1:119" ht="12.5" x14ac:dyDescent="0.2">
      <c r="A21" s="60" t="s">
        <v>28</v>
      </c>
      <c r="B21" s="56" t="s">
        <v>389</v>
      </c>
      <c r="C21" s="56" t="s">
        <v>390</v>
      </c>
      <c r="D21" s="61" t="s">
        <v>165</v>
      </c>
      <c r="E21" s="60" t="s">
        <v>76</v>
      </c>
      <c r="F21" s="60"/>
      <c r="G21" s="62" t="s">
        <v>27</v>
      </c>
      <c r="H21" s="61">
        <v>1995</v>
      </c>
      <c r="I21" s="62">
        <f t="shared" ca="1" si="0"/>
        <v>31</v>
      </c>
      <c r="J21" s="62">
        <v>2014</v>
      </c>
      <c r="K21" s="63">
        <f t="shared" ca="1" si="1"/>
        <v>12</v>
      </c>
    </row>
    <row r="22" spans="1:119" ht="12.5" x14ac:dyDescent="0.2">
      <c r="A22" s="65" t="s">
        <v>157</v>
      </c>
      <c r="B22" s="56" t="s">
        <v>391</v>
      </c>
      <c r="C22" s="56" t="s">
        <v>392</v>
      </c>
      <c r="D22" s="61" t="s">
        <v>174</v>
      </c>
      <c r="E22" s="65" t="s">
        <v>77</v>
      </c>
      <c r="F22" s="56" t="s">
        <v>77</v>
      </c>
      <c r="G22" s="66" t="s">
        <v>105</v>
      </c>
      <c r="H22" s="67">
        <v>2024</v>
      </c>
      <c r="I22" s="66">
        <f t="shared" ca="1" si="0"/>
        <v>2</v>
      </c>
      <c r="J22" s="67">
        <v>2024</v>
      </c>
      <c r="K22" s="68">
        <f t="shared" ca="1" si="1"/>
        <v>2</v>
      </c>
    </row>
    <row r="23" spans="1:119" ht="12.5" x14ac:dyDescent="0.2">
      <c r="A23" s="56" t="s">
        <v>80</v>
      </c>
      <c r="B23" s="56" t="s">
        <v>393</v>
      </c>
      <c r="C23" s="56" t="s">
        <v>394</v>
      </c>
      <c r="D23" s="57" t="s">
        <v>186</v>
      </c>
      <c r="E23" s="56" t="s">
        <v>81</v>
      </c>
      <c r="F23" s="56"/>
      <c r="G23" s="58" t="s">
        <v>86</v>
      </c>
      <c r="H23" s="57">
        <v>2002</v>
      </c>
      <c r="I23" s="57">
        <f t="shared" ca="1" si="0"/>
        <v>24</v>
      </c>
      <c r="J23" s="57">
        <v>2014</v>
      </c>
      <c r="K23" s="59">
        <f t="shared" ca="1" si="1"/>
        <v>12</v>
      </c>
    </row>
    <row r="24" spans="1:119" ht="12.5" x14ac:dyDescent="0.2">
      <c r="A24" s="56" t="s">
        <v>215</v>
      </c>
      <c r="B24" s="56" t="s">
        <v>395</v>
      </c>
      <c r="C24" s="56" t="s">
        <v>396</v>
      </c>
      <c r="D24" s="57" t="s">
        <v>167</v>
      </c>
      <c r="E24" s="56" t="s">
        <v>141</v>
      </c>
      <c r="F24" s="56"/>
      <c r="G24" s="57" t="s">
        <v>141</v>
      </c>
      <c r="H24" s="57">
        <v>1995</v>
      </c>
      <c r="I24" s="62">
        <f t="shared" ca="1" si="0"/>
        <v>31</v>
      </c>
      <c r="J24" s="57">
        <v>2017</v>
      </c>
      <c r="K24" s="59">
        <f t="shared" ca="1" si="1"/>
        <v>9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</row>
    <row r="25" spans="1:119" ht="12.5" x14ac:dyDescent="0.2">
      <c r="A25" s="56" t="s">
        <v>187</v>
      </c>
      <c r="B25" s="56" t="s">
        <v>397</v>
      </c>
      <c r="C25" s="56" t="s">
        <v>398</v>
      </c>
      <c r="D25" s="57" t="s">
        <v>186</v>
      </c>
      <c r="E25" s="56" t="s">
        <v>191</v>
      </c>
      <c r="F25" s="56"/>
      <c r="G25" s="56" t="s">
        <v>191</v>
      </c>
      <c r="H25" s="64">
        <v>2017</v>
      </c>
      <c r="I25" s="57">
        <f t="shared" ca="1" si="0"/>
        <v>9</v>
      </c>
      <c r="J25" s="64">
        <v>2017</v>
      </c>
      <c r="K25" s="59">
        <f t="shared" ca="1" si="1"/>
        <v>9</v>
      </c>
    </row>
    <row r="26" spans="1:119" ht="12.5" x14ac:dyDescent="0.2">
      <c r="A26" s="56" t="s">
        <v>45</v>
      </c>
      <c r="B26" s="56" t="s">
        <v>399</v>
      </c>
      <c r="C26" s="56" t="s">
        <v>400</v>
      </c>
      <c r="D26" s="61" t="s">
        <v>174</v>
      </c>
      <c r="E26" s="56" t="s">
        <v>77</v>
      </c>
      <c r="F26" s="56" t="s">
        <v>77</v>
      </c>
      <c r="G26" s="58" t="s">
        <v>105</v>
      </c>
      <c r="H26" s="57">
        <v>1993</v>
      </c>
      <c r="I26" s="62">
        <f t="shared" ca="1" si="0"/>
        <v>33</v>
      </c>
      <c r="J26" s="57">
        <v>2010</v>
      </c>
      <c r="K26" s="59">
        <f t="shared" ca="1" si="1"/>
        <v>16</v>
      </c>
    </row>
    <row r="27" spans="1:119" ht="12.5" x14ac:dyDescent="0.2">
      <c r="A27" s="65" t="s">
        <v>158</v>
      </c>
      <c r="B27" s="56" t="s">
        <v>401</v>
      </c>
      <c r="C27" s="56" t="s">
        <v>402</v>
      </c>
      <c r="D27" s="61" t="s">
        <v>174</v>
      </c>
      <c r="E27" s="65" t="s">
        <v>76</v>
      </c>
      <c r="F27" s="65"/>
      <c r="G27" s="66" t="s">
        <v>3</v>
      </c>
      <c r="H27" s="67">
        <v>2004</v>
      </c>
      <c r="I27" s="66">
        <f t="shared" ca="1" si="0"/>
        <v>22</v>
      </c>
      <c r="J27" s="72">
        <v>2024</v>
      </c>
      <c r="K27" s="68">
        <f t="shared" ca="1" si="1"/>
        <v>2</v>
      </c>
    </row>
    <row r="28" spans="1:119" ht="12.5" x14ac:dyDescent="0.2">
      <c r="A28" s="56" t="s">
        <v>216</v>
      </c>
      <c r="B28" s="56" t="s">
        <v>403</v>
      </c>
      <c r="C28" s="56" t="s">
        <v>404</v>
      </c>
      <c r="D28" s="57" t="s">
        <v>167</v>
      </c>
      <c r="E28" s="56" t="s">
        <v>141</v>
      </c>
      <c r="F28" s="56"/>
      <c r="G28" s="57" t="s">
        <v>141</v>
      </c>
      <c r="H28" s="57">
        <v>2020</v>
      </c>
      <c r="I28" s="62">
        <f t="shared" ca="1" si="0"/>
        <v>6</v>
      </c>
      <c r="J28" s="57">
        <v>2020</v>
      </c>
      <c r="K28" s="59">
        <f t="shared" ca="1" si="1"/>
        <v>6</v>
      </c>
    </row>
    <row r="29" spans="1:119" ht="25" x14ac:dyDescent="0.2">
      <c r="A29" s="56" t="s">
        <v>47</v>
      </c>
      <c r="B29" s="56" t="s">
        <v>405</v>
      </c>
      <c r="C29" s="56" t="s">
        <v>406</v>
      </c>
      <c r="D29" s="57" t="s">
        <v>163</v>
      </c>
      <c r="E29" s="60" t="s">
        <v>76</v>
      </c>
      <c r="F29" s="60"/>
      <c r="G29" s="62" t="s">
        <v>211</v>
      </c>
      <c r="H29" s="57">
        <v>2018</v>
      </c>
      <c r="I29" s="62">
        <f t="shared" ca="1" si="0"/>
        <v>8</v>
      </c>
      <c r="J29" s="57">
        <v>2018</v>
      </c>
      <c r="K29" s="59">
        <f t="shared" ca="1" si="1"/>
        <v>8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</row>
    <row r="30" spans="1:119" ht="12.5" x14ac:dyDescent="0.2">
      <c r="A30" s="56" t="s">
        <v>48</v>
      </c>
      <c r="B30" s="56" t="s">
        <v>407</v>
      </c>
      <c r="C30" s="56" t="s">
        <v>408</v>
      </c>
      <c r="D30" s="61" t="s">
        <v>161</v>
      </c>
      <c r="E30" s="56" t="s">
        <v>77</v>
      </c>
      <c r="F30" s="56" t="s">
        <v>77</v>
      </c>
      <c r="G30" s="58" t="s">
        <v>49</v>
      </c>
      <c r="H30" s="57">
        <v>2010</v>
      </c>
      <c r="I30" s="62">
        <f t="shared" ca="1" si="0"/>
        <v>16</v>
      </c>
      <c r="J30" s="57">
        <v>2016</v>
      </c>
      <c r="K30" s="59">
        <f t="shared" ca="1" si="1"/>
        <v>10</v>
      </c>
    </row>
    <row r="31" spans="1:119" ht="12.5" x14ac:dyDescent="0.2">
      <c r="A31" s="56" t="s">
        <v>218</v>
      </c>
      <c r="B31" s="56" t="s">
        <v>409</v>
      </c>
      <c r="C31" s="56" t="s">
        <v>410</v>
      </c>
      <c r="D31" s="61" t="s">
        <v>164</v>
      </c>
      <c r="E31" s="56" t="s">
        <v>77</v>
      </c>
      <c r="F31" s="56" t="s">
        <v>221</v>
      </c>
      <c r="G31" s="58" t="s">
        <v>101</v>
      </c>
      <c r="H31" s="57">
        <v>2021</v>
      </c>
      <c r="I31" s="58">
        <f t="shared" ca="1" si="0"/>
        <v>5</v>
      </c>
      <c r="J31" s="57">
        <v>2022</v>
      </c>
      <c r="K31" s="59">
        <f t="shared" ca="1" si="1"/>
        <v>4</v>
      </c>
    </row>
    <row r="32" spans="1:119" ht="12.5" x14ac:dyDescent="0.2">
      <c r="A32" s="56" t="s">
        <v>207</v>
      </c>
      <c r="B32" s="56" t="s">
        <v>411</v>
      </c>
      <c r="C32" s="56" t="s">
        <v>412</v>
      </c>
      <c r="D32" s="61" t="s">
        <v>164</v>
      </c>
      <c r="E32" s="56" t="s">
        <v>77</v>
      </c>
      <c r="F32" s="56" t="s">
        <v>77</v>
      </c>
      <c r="G32" s="58" t="s">
        <v>40</v>
      </c>
      <c r="H32" s="57">
        <v>2020</v>
      </c>
      <c r="I32" s="62">
        <f t="shared" ca="1" si="0"/>
        <v>6</v>
      </c>
      <c r="J32" s="57">
        <v>2025</v>
      </c>
      <c r="K32" s="59">
        <f t="shared" ca="1" si="1"/>
        <v>1</v>
      </c>
    </row>
    <row r="33" spans="1:119" ht="12.5" x14ac:dyDescent="0.2">
      <c r="A33" s="56" t="s">
        <v>50</v>
      </c>
      <c r="B33" s="56" t="s">
        <v>413</v>
      </c>
      <c r="C33" s="56" t="s">
        <v>414</v>
      </c>
      <c r="D33" s="61" t="s">
        <v>164</v>
      </c>
      <c r="E33" s="56" t="s">
        <v>77</v>
      </c>
      <c r="F33" s="56" t="s">
        <v>77</v>
      </c>
      <c r="G33" s="58" t="s">
        <v>40</v>
      </c>
      <c r="H33" s="57">
        <v>2011</v>
      </c>
      <c r="I33" s="62">
        <f t="shared" ca="1" si="0"/>
        <v>15</v>
      </c>
      <c r="J33" s="57">
        <v>2011</v>
      </c>
      <c r="K33" s="59">
        <f t="shared" ca="1" si="1"/>
        <v>15</v>
      </c>
    </row>
    <row r="34" spans="1:119" ht="12.5" x14ac:dyDescent="0.2">
      <c r="A34" s="56" t="s">
        <v>208</v>
      </c>
      <c r="B34" s="56" t="s">
        <v>415</v>
      </c>
      <c r="C34" s="56" t="s">
        <v>416</v>
      </c>
      <c r="D34" s="61" t="s">
        <v>164</v>
      </c>
      <c r="E34" s="56" t="s">
        <v>77</v>
      </c>
      <c r="F34" s="56" t="s">
        <v>77</v>
      </c>
      <c r="G34" s="58" t="s">
        <v>40</v>
      </c>
      <c r="H34" s="69">
        <v>2021</v>
      </c>
      <c r="I34" s="70">
        <f t="shared" ca="1" si="0"/>
        <v>5</v>
      </c>
      <c r="J34" s="69">
        <v>2025</v>
      </c>
      <c r="K34" s="71">
        <f t="shared" ref="K34:K68" ca="1" si="2">YEAR(TODAY())-J34</f>
        <v>1</v>
      </c>
    </row>
    <row r="35" spans="1:119" ht="12.5" x14ac:dyDescent="0.2">
      <c r="A35" s="56" t="s">
        <v>52</v>
      </c>
      <c r="B35" s="56" t="s">
        <v>417</v>
      </c>
      <c r="C35" s="56" t="s">
        <v>418</v>
      </c>
      <c r="D35" s="61" t="s">
        <v>161</v>
      </c>
      <c r="E35" s="56" t="s">
        <v>77</v>
      </c>
      <c r="F35" s="56" t="s">
        <v>77</v>
      </c>
      <c r="G35" s="58" t="s">
        <v>42</v>
      </c>
      <c r="H35" s="57">
        <v>1993</v>
      </c>
      <c r="I35" s="62">
        <f t="shared" ca="1" si="0"/>
        <v>33</v>
      </c>
      <c r="J35" s="57">
        <v>2012</v>
      </c>
      <c r="K35" s="59">
        <f t="shared" ca="1" si="2"/>
        <v>14</v>
      </c>
    </row>
    <row r="36" spans="1:119" ht="12.5" x14ac:dyDescent="0.2">
      <c r="A36" s="56" t="s">
        <v>139</v>
      </c>
      <c r="B36" s="56" t="s">
        <v>419</v>
      </c>
      <c r="C36" s="56" t="s">
        <v>420</v>
      </c>
      <c r="D36" s="57" t="s">
        <v>167</v>
      </c>
      <c r="E36" s="56" t="s">
        <v>141</v>
      </c>
      <c r="F36" s="56"/>
      <c r="G36" s="57" t="s">
        <v>141</v>
      </c>
      <c r="H36" s="57">
        <v>2010</v>
      </c>
      <c r="I36" s="62">
        <f t="shared" ca="1" si="0"/>
        <v>16</v>
      </c>
      <c r="J36" s="57">
        <v>2014</v>
      </c>
      <c r="K36" s="59">
        <f t="shared" ca="1" si="2"/>
        <v>12</v>
      </c>
    </row>
    <row r="37" spans="1:119" ht="25" x14ac:dyDescent="0.2">
      <c r="A37" s="60" t="s">
        <v>26</v>
      </c>
      <c r="B37" s="56" t="s">
        <v>421</v>
      </c>
      <c r="C37" s="56" t="s">
        <v>422</v>
      </c>
      <c r="D37" s="61" t="s">
        <v>161</v>
      </c>
      <c r="E37" s="60" t="s">
        <v>76</v>
      </c>
      <c r="F37" s="60"/>
      <c r="G37" s="62" t="s">
        <v>25</v>
      </c>
      <c r="H37" s="61">
        <v>2006</v>
      </c>
      <c r="I37" s="62">
        <f t="shared" ca="1" si="0"/>
        <v>20</v>
      </c>
      <c r="J37" s="62">
        <v>2006</v>
      </c>
      <c r="K37" s="63">
        <f t="shared" ca="1" si="2"/>
        <v>20</v>
      </c>
    </row>
    <row r="38" spans="1:119" ht="12.5" x14ac:dyDescent="0.2">
      <c r="A38" s="60" t="s">
        <v>281</v>
      </c>
      <c r="B38" s="56" t="s">
        <v>423</v>
      </c>
      <c r="C38" s="56" t="s">
        <v>424</v>
      </c>
      <c r="D38" s="61" t="s">
        <v>164</v>
      </c>
      <c r="E38" s="60" t="s">
        <v>76</v>
      </c>
      <c r="F38" s="60"/>
      <c r="G38" s="62" t="s">
        <v>6</v>
      </c>
      <c r="H38" s="61">
        <v>2014</v>
      </c>
      <c r="I38" s="62">
        <f t="shared" ca="1" si="0"/>
        <v>12</v>
      </c>
      <c r="J38" s="62">
        <v>2026</v>
      </c>
      <c r="K38" s="63">
        <f t="shared" ca="1" si="2"/>
        <v>0</v>
      </c>
    </row>
    <row r="39" spans="1:119" ht="25" x14ac:dyDescent="0.2">
      <c r="A39" s="56" t="s">
        <v>99</v>
      </c>
      <c r="B39" s="56" t="s">
        <v>425</v>
      </c>
      <c r="C39" s="56" t="s">
        <v>426</v>
      </c>
      <c r="D39" s="57" t="s">
        <v>163</v>
      </c>
      <c r="E39" s="60" t="s">
        <v>76</v>
      </c>
      <c r="F39" s="60"/>
      <c r="G39" s="62" t="s">
        <v>100</v>
      </c>
      <c r="H39" s="61">
        <v>2007</v>
      </c>
      <c r="I39" s="62">
        <f ca="1">(YEAR(TODAY())-H39)-4</f>
        <v>15</v>
      </c>
      <c r="J39" s="62">
        <v>2022</v>
      </c>
      <c r="K39" s="63">
        <f t="shared" ca="1" si="2"/>
        <v>4</v>
      </c>
    </row>
    <row r="40" spans="1:119" ht="25" x14ac:dyDescent="0.2">
      <c r="A40" s="60" t="s">
        <v>24</v>
      </c>
      <c r="B40" s="56" t="s">
        <v>427</v>
      </c>
      <c r="C40" s="56" t="s">
        <v>428</v>
      </c>
      <c r="D40" s="61" t="s">
        <v>161</v>
      </c>
      <c r="E40" s="60" t="s">
        <v>76</v>
      </c>
      <c r="F40" s="60"/>
      <c r="G40" s="62" t="s">
        <v>23</v>
      </c>
      <c r="H40" s="61">
        <v>2000</v>
      </c>
      <c r="I40" s="62">
        <f t="shared" ref="I40:I81" ca="1" si="3">YEAR(TODAY())-H40</f>
        <v>26</v>
      </c>
      <c r="J40" s="62">
        <v>2006</v>
      </c>
      <c r="K40" s="63">
        <f t="shared" ca="1" si="2"/>
        <v>20</v>
      </c>
    </row>
    <row r="41" spans="1:119" ht="12.5" x14ac:dyDescent="0.2">
      <c r="A41" s="56" t="s">
        <v>53</v>
      </c>
      <c r="B41" s="56" t="s">
        <v>429</v>
      </c>
      <c r="C41" s="56" t="s">
        <v>430</v>
      </c>
      <c r="D41" s="61" t="s">
        <v>164</v>
      </c>
      <c r="E41" s="56" t="s">
        <v>77</v>
      </c>
      <c r="F41" s="56" t="s">
        <v>221</v>
      </c>
      <c r="G41" s="58" t="s">
        <v>101</v>
      </c>
      <c r="H41" s="57">
        <v>2001</v>
      </c>
      <c r="I41" s="58">
        <f t="shared" ca="1" si="3"/>
        <v>25</v>
      </c>
      <c r="J41" s="57">
        <v>2009</v>
      </c>
      <c r="K41" s="59">
        <f t="shared" ca="1" si="2"/>
        <v>17</v>
      </c>
    </row>
    <row r="42" spans="1:119" ht="12.5" x14ac:dyDescent="0.2">
      <c r="A42" s="56" t="s">
        <v>54</v>
      </c>
      <c r="B42" s="56" t="s">
        <v>431</v>
      </c>
      <c r="C42" s="56" t="s">
        <v>432</v>
      </c>
      <c r="D42" s="61" t="s">
        <v>164</v>
      </c>
      <c r="E42" s="56" t="s">
        <v>77</v>
      </c>
      <c r="F42" s="56" t="s">
        <v>77</v>
      </c>
      <c r="G42" s="58" t="s">
        <v>55</v>
      </c>
      <c r="H42" s="57">
        <v>2000</v>
      </c>
      <c r="I42" s="62">
        <f t="shared" ca="1" si="3"/>
        <v>26</v>
      </c>
      <c r="J42" s="57">
        <v>2007</v>
      </c>
      <c r="K42" s="59">
        <f t="shared" ca="1" si="2"/>
        <v>19</v>
      </c>
    </row>
    <row r="43" spans="1:119" ht="12.5" x14ac:dyDescent="0.2">
      <c r="A43" s="56" t="s">
        <v>230</v>
      </c>
      <c r="B43" s="56" t="s">
        <v>433</v>
      </c>
      <c r="C43" s="56" t="s">
        <v>434</v>
      </c>
      <c r="D43" s="57" t="s">
        <v>163</v>
      </c>
      <c r="E43" s="56" t="s">
        <v>77</v>
      </c>
      <c r="F43" s="56" t="s">
        <v>77</v>
      </c>
      <c r="G43" s="58" t="s">
        <v>210</v>
      </c>
      <c r="H43" s="57">
        <v>2020</v>
      </c>
      <c r="I43" s="62">
        <f t="shared" ca="1" si="3"/>
        <v>6</v>
      </c>
      <c r="J43" s="57">
        <v>2020</v>
      </c>
      <c r="K43" s="59">
        <f t="shared" ca="1" si="2"/>
        <v>6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 ht="12.5" x14ac:dyDescent="0.2">
      <c r="A44" s="56" t="s">
        <v>279</v>
      </c>
      <c r="B44" s="56" t="s">
        <v>435</v>
      </c>
      <c r="C44" s="56" t="s">
        <v>436</v>
      </c>
      <c r="D44" s="61" t="s">
        <v>174</v>
      </c>
      <c r="E44" s="56" t="s">
        <v>77</v>
      </c>
      <c r="F44" s="56" t="s">
        <v>219</v>
      </c>
      <c r="G44" s="56" t="s">
        <v>213</v>
      </c>
      <c r="H44" s="64">
        <v>2019</v>
      </c>
      <c r="I44" s="57">
        <f t="shared" ref="I44" ca="1" si="4">YEAR(TODAY())-H44</f>
        <v>7</v>
      </c>
      <c r="J44" s="64">
        <v>2022</v>
      </c>
      <c r="K44" s="59">
        <f t="shared" ca="1" si="2"/>
        <v>4</v>
      </c>
    </row>
    <row r="45" spans="1:119" ht="37.5" x14ac:dyDescent="0.2">
      <c r="A45" s="60" t="s">
        <v>22</v>
      </c>
      <c r="B45" s="56" t="s">
        <v>437</v>
      </c>
      <c r="C45" s="56" t="s">
        <v>438</v>
      </c>
      <c r="D45" s="61" t="s">
        <v>162</v>
      </c>
      <c r="E45" s="60" t="s">
        <v>75</v>
      </c>
      <c r="F45" s="60" t="s">
        <v>76</v>
      </c>
      <c r="G45" s="62" t="s">
        <v>144</v>
      </c>
      <c r="H45" s="61">
        <v>1998</v>
      </c>
      <c r="I45" s="62">
        <f t="shared" ca="1" si="3"/>
        <v>28</v>
      </c>
      <c r="J45" s="62">
        <v>2004</v>
      </c>
      <c r="K45" s="63">
        <f t="shared" ca="1" si="2"/>
        <v>22</v>
      </c>
    </row>
    <row r="46" spans="1:119" ht="12.5" x14ac:dyDescent="0.2">
      <c r="A46" s="60" t="s">
        <v>21</v>
      </c>
      <c r="B46" s="56" t="s">
        <v>439</v>
      </c>
      <c r="C46" s="56" t="s">
        <v>440</v>
      </c>
      <c r="D46" s="61" t="s">
        <v>164</v>
      </c>
      <c r="E46" s="60" t="s">
        <v>76</v>
      </c>
      <c r="F46" s="60"/>
      <c r="G46" s="62" t="s">
        <v>20</v>
      </c>
      <c r="H46" s="61">
        <v>1996</v>
      </c>
      <c r="I46" s="62">
        <f t="shared" ca="1" si="3"/>
        <v>30</v>
      </c>
      <c r="J46" s="62">
        <v>2000</v>
      </c>
      <c r="K46" s="63">
        <f t="shared" ca="1" si="2"/>
        <v>26</v>
      </c>
    </row>
    <row r="47" spans="1:119" ht="25" x14ac:dyDescent="0.2">
      <c r="A47" s="56" t="s">
        <v>58</v>
      </c>
      <c r="B47" s="56" t="s">
        <v>441</v>
      </c>
      <c r="C47" s="56" t="s">
        <v>352</v>
      </c>
      <c r="D47" s="57" t="s">
        <v>166</v>
      </c>
      <c r="E47" s="56" t="s">
        <v>77</v>
      </c>
      <c r="F47" s="56" t="s">
        <v>77</v>
      </c>
      <c r="G47" s="58" t="s">
        <v>59</v>
      </c>
      <c r="H47" s="57">
        <v>2004</v>
      </c>
      <c r="I47" s="62">
        <f t="shared" ca="1" si="3"/>
        <v>22</v>
      </c>
      <c r="J47" s="57">
        <v>2014</v>
      </c>
      <c r="K47" s="59">
        <f t="shared" ca="1" si="2"/>
        <v>12</v>
      </c>
    </row>
    <row r="48" spans="1:119" ht="12.5" x14ac:dyDescent="0.2">
      <c r="A48" s="60" t="s">
        <v>19</v>
      </c>
      <c r="B48" s="56" t="s">
        <v>286</v>
      </c>
      <c r="C48" s="56" t="s">
        <v>287</v>
      </c>
      <c r="D48" s="61" t="s">
        <v>164</v>
      </c>
      <c r="E48" s="60" t="s">
        <v>76</v>
      </c>
      <c r="F48" s="60"/>
      <c r="G48" s="62" t="s">
        <v>6</v>
      </c>
      <c r="H48" s="61">
        <v>2006</v>
      </c>
      <c r="I48" s="62">
        <f t="shared" ca="1" si="3"/>
        <v>20</v>
      </c>
      <c r="J48" s="62">
        <v>2011</v>
      </c>
      <c r="K48" s="63">
        <f t="shared" ca="1" si="2"/>
        <v>15</v>
      </c>
    </row>
    <row r="49" spans="1:119" ht="13.5" customHeight="1" x14ac:dyDescent="0.2">
      <c r="A49" s="56" t="s">
        <v>88</v>
      </c>
      <c r="B49" s="56" t="s">
        <v>288</v>
      </c>
      <c r="C49" s="56" t="s">
        <v>289</v>
      </c>
      <c r="D49" s="61" t="s">
        <v>161</v>
      </c>
      <c r="E49" s="60" t="s">
        <v>76</v>
      </c>
      <c r="F49" s="60"/>
      <c r="G49" s="58" t="s">
        <v>89</v>
      </c>
      <c r="H49" s="57">
        <v>2007</v>
      </c>
      <c r="I49" s="57">
        <f t="shared" ca="1" si="3"/>
        <v>19</v>
      </c>
      <c r="J49" s="57">
        <v>2023</v>
      </c>
      <c r="K49" s="59">
        <f t="shared" ca="1" si="2"/>
        <v>3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 ht="13.5" customHeight="1" x14ac:dyDescent="0.2">
      <c r="A50" s="56" t="s">
        <v>60</v>
      </c>
      <c r="B50" s="56" t="s">
        <v>290</v>
      </c>
      <c r="C50" s="56" t="s">
        <v>291</v>
      </c>
      <c r="D50" s="61" t="s">
        <v>161</v>
      </c>
      <c r="E50" s="56" t="s">
        <v>77</v>
      </c>
      <c r="F50" s="56" t="s">
        <v>77</v>
      </c>
      <c r="G50" s="58" t="s">
        <v>42</v>
      </c>
      <c r="H50" s="57">
        <v>2018</v>
      </c>
      <c r="I50" s="62">
        <f t="shared" ca="1" si="3"/>
        <v>8</v>
      </c>
      <c r="J50" s="57">
        <v>2021</v>
      </c>
      <c r="K50" s="59">
        <f t="shared" ca="1" si="2"/>
        <v>5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 ht="13.5" customHeight="1" x14ac:dyDescent="0.2">
      <c r="A51" s="56" t="s">
        <v>61</v>
      </c>
      <c r="B51" s="56" t="s">
        <v>292</v>
      </c>
      <c r="C51" s="56" t="s">
        <v>293</v>
      </c>
      <c r="D51" s="61" t="s">
        <v>164</v>
      </c>
      <c r="E51" s="56" t="s">
        <v>77</v>
      </c>
      <c r="F51" s="56" t="s">
        <v>195</v>
      </c>
      <c r="G51" s="58" t="s">
        <v>40</v>
      </c>
      <c r="H51" s="57">
        <v>2019</v>
      </c>
      <c r="I51" s="62">
        <f t="shared" ca="1" si="3"/>
        <v>7</v>
      </c>
      <c r="J51" s="57">
        <v>2019</v>
      </c>
      <c r="K51" s="59">
        <f t="shared" ca="1" si="2"/>
        <v>7</v>
      </c>
    </row>
    <row r="52" spans="1:119" ht="12.5" x14ac:dyDescent="0.2">
      <c r="A52" s="56" t="s">
        <v>62</v>
      </c>
      <c r="B52" s="56" t="s">
        <v>294</v>
      </c>
      <c r="C52" s="56" t="s">
        <v>295</v>
      </c>
      <c r="D52" s="61" t="s">
        <v>174</v>
      </c>
      <c r="E52" s="56" t="s">
        <v>77</v>
      </c>
      <c r="F52" s="56" t="s">
        <v>77</v>
      </c>
      <c r="G52" s="58" t="s">
        <v>105</v>
      </c>
      <c r="H52" s="57">
        <v>1998</v>
      </c>
      <c r="I52" s="62">
        <f t="shared" ca="1" si="3"/>
        <v>28</v>
      </c>
      <c r="J52" s="57">
        <v>2004</v>
      </c>
      <c r="K52" s="59">
        <f t="shared" ca="1" si="2"/>
        <v>22</v>
      </c>
    </row>
    <row r="53" spans="1:119" ht="13.5" customHeight="1" x14ac:dyDescent="0.2">
      <c r="A53" s="56" t="s">
        <v>92</v>
      </c>
      <c r="B53" s="56" t="s">
        <v>296</v>
      </c>
      <c r="C53" s="56" t="s">
        <v>297</v>
      </c>
      <c r="D53" s="61" t="s">
        <v>161</v>
      </c>
      <c r="E53" s="56" t="s">
        <v>77</v>
      </c>
      <c r="F53" s="56" t="s">
        <v>77</v>
      </c>
      <c r="G53" s="58" t="s">
        <v>91</v>
      </c>
      <c r="H53" s="57">
        <v>2018</v>
      </c>
      <c r="I53" s="57">
        <f t="shared" ca="1" si="3"/>
        <v>8</v>
      </c>
      <c r="J53" s="57">
        <v>2023</v>
      </c>
      <c r="K53" s="59">
        <f t="shared" ca="1" si="2"/>
        <v>3</v>
      </c>
    </row>
    <row r="54" spans="1:119" ht="13.5" customHeight="1" x14ac:dyDescent="0.2">
      <c r="A54" s="60" t="s">
        <v>18</v>
      </c>
      <c r="B54" s="56" t="s">
        <v>298</v>
      </c>
      <c r="C54" s="56" t="s">
        <v>299</v>
      </c>
      <c r="D54" s="61" t="s">
        <v>172</v>
      </c>
      <c r="E54" s="60" t="s">
        <v>76</v>
      </c>
      <c r="F54" s="60"/>
      <c r="G54" s="62" t="s">
        <v>160</v>
      </c>
      <c r="H54" s="61">
        <v>1992</v>
      </c>
      <c r="I54" s="62">
        <f t="shared" ca="1" si="3"/>
        <v>34</v>
      </c>
      <c r="J54" s="62">
        <v>2007</v>
      </c>
      <c r="K54" s="63">
        <f t="shared" ca="1" si="2"/>
        <v>19</v>
      </c>
    </row>
    <row r="55" spans="1:119" ht="12.5" x14ac:dyDescent="0.2">
      <c r="A55" s="56" t="s">
        <v>280</v>
      </c>
      <c r="B55" s="56" t="s">
        <v>300</v>
      </c>
      <c r="C55" s="56" t="s">
        <v>301</v>
      </c>
      <c r="D55" s="61" t="s">
        <v>161</v>
      </c>
      <c r="E55" s="60" t="s">
        <v>77</v>
      </c>
      <c r="F55" s="60" t="s">
        <v>220</v>
      </c>
      <c r="G55" s="58" t="s">
        <v>97</v>
      </c>
      <c r="H55" s="57">
        <v>2026</v>
      </c>
      <c r="I55" s="57">
        <f t="shared" ref="I55" ca="1" si="5">YEAR(TODAY())-H55</f>
        <v>0</v>
      </c>
      <c r="J55" s="57">
        <v>2026</v>
      </c>
      <c r="K55" s="59">
        <f t="shared" ref="K55" ca="1" si="6">YEAR(TODAY())-J55</f>
        <v>0</v>
      </c>
    </row>
    <row r="56" spans="1:119" ht="13.5" customHeight="1" x14ac:dyDescent="0.2">
      <c r="A56" s="56" t="s">
        <v>217</v>
      </c>
      <c r="B56" s="56" t="s">
        <v>302</v>
      </c>
      <c r="C56" s="56" t="s">
        <v>303</v>
      </c>
      <c r="D56" s="57" t="s">
        <v>167</v>
      </c>
      <c r="E56" s="56" t="s">
        <v>141</v>
      </c>
      <c r="F56" s="56"/>
      <c r="G56" s="57" t="s">
        <v>141</v>
      </c>
      <c r="H56" s="57">
        <v>1997</v>
      </c>
      <c r="I56" s="62">
        <f t="shared" ca="1" si="3"/>
        <v>29</v>
      </c>
      <c r="J56" s="57">
        <v>2018</v>
      </c>
      <c r="K56" s="59">
        <f t="shared" ca="1" si="2"/>
        <v>8</v>
      </c>
    </row>
    <row r="57" spans="1:119" ht="13.5" customHeight="1" x14ac:dyDescent="0.2">
      <c r="A57" s="60" t="s">
        <v>17</v>
      </c>
      <c r="B57" s="56" t="s">
        <v>304</v>
      </c>
      <c r="C57" s="56" t="s">
        <v>305</v>
      </c>
      <c r="D57" s="61" t="s">
        <v>161</v>
      </c>
      <c r="E57" s="60" t="s">
        <v>76</v>
      </c>
      <c r="F57" s="60"/>
      <c r="G57" s="62" t="s">
        <v>16</v>
      </c>
      <c r="H57" s="61">
        <v>1999</v>
      </c>
      <c r="I57" s="62">
        <f t="shared" ca="1" si="3"/>
        <v>27</v>
      </c>
      <c r="J57" s="62">
        <v>1999</v>
      </c>
      <c r="K57" s="63">
        <f t="shared" ca="1" si="2"/>
        <v>27</v>
      </c>
    </row>
    <row r="58" spans="1:119" ht="12.5" x14ac:dyDescent="0.2">
      <c r="A58" s="56" t="s">
        <v>214</v>
      </c>
      <c r="B58" s="56" t="s">
        <v>306</v>
      </c>
      <c r="C58" s="56" t="s">
        <v>307</v>
      </c>
      <c r="D58" s="57" t="s">
        <v>167</v>
      </c>
      <c r="E58" s="56" t="s">
        <v>141</v>
      </c>
      <c r="F58" s="56"/>
      <c r="G58" s="57" t="s">
        <v>141</v>
      </c>
      <c r="H58" s="57">
        <v>2012</v>
      </c>
      <c r="I58" s="62">
        <f t="shared" ca="1" si="3"/>
        <v>14</v>
      </c>
      <c r="J58" s="57">
        <v>2025</v>
      </c>
      <c r="K58" s="59">
        <f t="shared" ca="1" si="2"/>
        <v>1</v>
      </c>
    </row>
    <row r="59" spans="1:119" ht="12.5" x14ac:dyDescent="0.2">
      <c r="A59" s="56" t="s">
        <v>223</v>
      </c>
      <c r="B59" s="56" t="s">
        <v>308</v>
      </c>
      <c r="C59" s="56" t="s">
        <v>309</v>
      </c>
      <c r="D59" s="57" t="s">
        <v>186</v>
      </c>
      <c r="E59" s="56" t="s">
        <v>192</v>
      </c>
      <c r="F59" s="56"/>
      <c r="G59" s="56" t="s">
        <v>192</v>
      </c>
      <c r="H59" s="64">
        <v>2015</v>
      </c>
      <c r="I59" s="57">
        <f t="shared" ca="1" si="3"/>
        <v>11</v>
      </c>
      <c r="J59" s="64">
        <v>2025</v>
      </c>
      <c r="K59" s="59">
        <f t="shared" ca="1" si="2"/>
        <v>1</v>
      </c>
    </row>
    <row r="60" spans="1:119" ht="12.5" x14ac:dyDescent="0.2">
      <c r="A60" s="56" t="s">
        <v>212</v>
      </c>
      <c r="B60" s="56" t="s">
        <v>310</v>
      </c>
      <c r="C60" s="56" t="s">
        <v>311</v>
      </c>
      <c r="D60" s="57" t="s">
        <v>163</v>
      </c>
      <c r="E60" s="56" t="s">
        <v>77</v>
      </c>
      <c r="F60" s="56" t="s">
        <v>77</v>
      </c>
      <c r="G60" s="58" t="s">
        <v>210</v>
      </c>
      <c r="H60" s="57">
        <v>2026</v>
      </c>
      <c r="I60" s="57">
        <f t="shared" ca="1" si="3"/>
        <v>0</v>
      </c>
      <c r="J60" s="57">
        <v>2026</v>
      </c>
      <c r="K60" s="57">
        <f t="shared" ca="1" si="2"/>
        <v>0</v>
      </c>
    </row>
    <row r="61" spans="1:119" ht="12.5" x14ac:dyDescent="0.2">
      <c r="A61" s="60" t="s">
        <v>15</v>
      </c>
      <c r="B61" s="56" t="s">
        <v>312</v>
      </c>
      <c r="C61" s="56" t="s">
        <v>313</v>
      </c>
      <c r="D61" s="61" t="s">
        <v>172</v>
      </c>
      <c r="E61" s="60" t="s">
        <v>76</v>
      </c>
      <c r="F61" s="60"/>
      <c r="G61" s="62" t="s">
        <v>3</v>
      </c>
      <c r="H61" s="61">
        <v>2007</v>
      </c>
      <c r="I61" s="62">
        <f t="shared" ca="1" si="3"/>
        <v>19</v>
      </c>
      <c r="J61" s="62">
        <v>2014</v>
      </c>
      <c r="K61" s="63">
        <f t="shared" ca="1" si="2"/>
        <v>12</v>
      </c>
    </row>
    <row r="62" spans="1:119" ht="25" x14ac:dyDescent="0.2">
      <c r="A62" s="60" t="s">
        <v>14</v>
      </c>
      <c r="B62" s="56" t="s">
        <v>314</v>
      </c>
      <c r="C62" s="56" t="s">
        <v>315</v>
      </c>
      <c r="D62" s="61" t="s">
        <v>161</v>
      </c>
      <c r="E62" s="60" t="s">
        <v>76</v>
      </c>
      <c r="F62" s="60"/>
      <c r="G62" s="62" t="s">
        <v>13</v>
      </c>
      <c r="H62" s="61">
        <v>2010</v>
      </c>
      <c r="I62" s="62">
        <f t="shared" ca="1" si="3"/>
        <v>16</v>
      </c>
      <c r="J62" s="62">
        <v>2010</v>
      </c>
      <c r="K62" s="63">
        <f t="shared" ca="1" si="2"/>
        <v>16</v>
      </c>
    </row>
    <row r="63" spans="1:119" ht="12.5" x14ac:dyDescent="0.2">
      <c r="A63" s="60" t="s">
        <v>72</v>
      </c>
      <c r="B63" s="56" t="s">
        <v>316</v>
      </c>
      <c r="C63" s="56" t="s">
        <v>317</v>
      </c>
      <c r="D63" s="61" t="s">
        <v>75</v>
      </c>
      <c r="E63" s="60" t="s">
        <v>75</v>
      </c>
      <c r="F63" s="60"/>
      <c r="G63" s="58" t="s">
        <v>73</v>
      </c>
      <c r="H63" s="58">
        <v>1999</v>
      </c>
      <c r="I63" s="62">
        <f t="shared" ca="1" si="3"/>
        <v>27</v>
      </c>
      <c r="J63" s="58">
        <v>2015</v>
      </c>
      <c r="K63" s="63">
        <f t="shared" ca="1" si="2"/>
        <v>11</v>
      </c>
    </row>
    <row r="64" spans="1:119" ht="12.5" x14ac:dyDescent="0.2">
      <c r="A64" s="56" t="s">
        <v>63</v>
      </c>
      <c r="B64" s="56" t="s">
        <v>318</v>
      </c>
      <c r="C64" s="56" t="s">
        <v>319</v>
      </c>
      <c r="D64" s="61" t="s">
        <v>164</v>
      </c>
      <c r="E64" s="56" t="s">
        <v>77</v>
      </c>
      <c r="F64" s="56" t="s">
        <v>77</v>
      </c>
      <c r="G64" s="58" t="s">
        <v>40</v>
      </c>
      <c r="H64" s="57">
        <v>2006</v>
      </c>
      <c r="I64" s="62">
        <f t="shared" ca="1" si="3"/>
        <v>20</v>
      </c>
      <c r="J64" s="57">
        <v>2011</v>
      </c>
      <c r="K64" s="59">
        <f t="shared" ca="1" si="2"/>
        <v>15</v>
      </c>
    </row>
    <row r="65" spans="1:119" ht="12.5" x14ac:dyDescent="0.2">
      <c r="A65" s="56" t="s">
        <v>188</v>
      </c>
      <c r="B65" s="56" t="s">
        <v>320</v>
      </c>
      <c r="C65" s="56" t="s">
        <v>321</v>
      </c>
      <c r="D65" s="57" t="s">
        <v>186</v>
      </c>
      <c r="E65" s="56" t="s">
        <v>192</v>
      </c>
      <c r="F65" s="56"/>
      <c r="G65" s="56" t="s">
        <v>192</v>
      </c>
      <c r="H65" s="64">
        <v>2011</v>
      </c>
      <c r="I65" s="57">
        <f t="shared" ca="1" si="3"/>
        <v>15</v>
      </c>
      <c r="J65" s="64">
        <v>2011</v>
      </c>
      <c r="K65" s="59">
        <f t="shared" ca="1" si="2"/>
        <v>15</v>
      </c>
    </row>
    <row r="66" spans="1:119" ht="25" x14ac:dyDescent="0.2">
      <c r="A66" s="56" t="s">
        <v>87</v>
      </c>
      <c r="B66" s="56" t="s">
        <v>283</v>
      </c>
      <c r="C66" s="56" t="s">
        <v>284</v>
      </c>
      <c r="D66" s="61" t="s">
        <v>161</v>
      </c>
      <c r="E66" s="60" t="s">
        <v>76</v>
      </c>
      <c r="F66" s="60"/>
      <c r="G66" s="58" t="s">
        <v>285</v>
      </c>
      <c r="H66" s="57">
        <v>2011</v>
      </c>
      <c r="I66" s="57">
        <f t="shared" ca="1" si="3"/>
        <v>15</v>
      </c>
      <c r="J66" s="57">
        <v>2023</v>
      </c>
      <c r="K66" s="59">
        <f t="shared" ca="1" si="2"/>
        <v>3</v>
      </c>
    </row>
    <row r="67" spans="1:119" ht="17.149999999999999" customHeight="1" x14ac:dyDescent="0.2">
      <c r="A67" s="56" t="s">
        <v>94</v>
      </c>
      <c r="B67" s="56" t="s">
        <v>322</v>
      </c>
      <c r="C67" s="56" t="s">
        <v>323</v>
      </c>
      <c r="D67" s="57" t="s">
        <v>163</v>
      </c>
      <c r="E67" s="56" t="s">
        <v>77</v>
      </c>
      <c r="F67" s="56" t="s">
        <v>77</v>
      </c>
      <c r="G67" s="58" t="s">
        <v>210</v>
      </c>
      <c r="H67" s="57">
        <v>2021</v>
      </c>
      <c r="I67" s="57">
        <f t="shared" ca="1" si="3"/>
        <v>5</v>
      </c>
      <c r="J67" s="57">
        <v>2023</v>
      </c>
      <c r="K67" s="59">
        <f t="shared" ca="1" si="2"/>
        <v>3</v>
      </c>
    </row>
    <row r="68" spans="1:119" ht="12.5" x14ac:dyDescent="0.2">
      <c r="A68" s="56" t="s">
        <v>90</v>
      </c>
      <c r="B68" s="56" t="s">
        <v>324</v>
      </c>
      <c r="C68" s="56" t="s">
        <v>325</v>
      </c>
      <c r="D68" s="61" t="s">
        <v>161</v>
      </c>
      <c r="E68" s="56" t="s">
        <v>77</v>
      </c>
      <c r="F68" s="56" t="s">
        <v>77</v>
      </c>
      <c r="G68" s="58" t="s">
        <v>42</v>
      </c>
      <c r="H68" s="57">
        <v>2012</v>
      </c>
      <c r="I68" s="57">
        <f t="shared" ca="1" si="3"/>
        <v>14</v>
      </c>
      <c r="J68" s="57">
        <v>2023</v>
      </c>
      <c r="K68" s="59">
        <f t="shared" ca="1" si="2"/>
        <v>3</v>
      </c>
    </row>
    <row r="69" spans="1:119" ht="12.5" x14ac:dyDescent="0.2">
      <c r="A69" s="65" t="s">
        <v>156</v>
      </c>
      <c r="B69" s="56" t="s">
        <v>326</v>
      </c>
      <c r="C69" s="56" t="s">
        <v>327</v>
      </c>
      <c r="D69" s="61" t="s">
        <v>174</v>
      </c>
      <c r="E69" s="65" t="s">
        <v>77</v>
      </c>
      <c r="F69" s="56" t="s">
        <v>77</v>
      </c>
      <c r="G69" s="66" t="s">
        <v>105</v>
      </c>
      <c r="H69" s="73">
        <v>2019</v>
      </c>
      <c r="I69" s="66">
        <f t="shared" ca="1" si="3"/>
        <v>7</v>
      </c>
      <c r="J69" s="73">
        <v>2024</v>
      </c>
      <c r="K69" s="68">
        <f t="shared" ref="K69:K81" ca="1" si="7">YEAR(TODAY())-J69</f>
        <v>2</v>
      </c>
    </row>
    <row r="70" spans="1:119" ht="12.5" x14ac:dyDescent="0.2">
      <c r="A70" s="56" t="s">
        <v>209</v>
      </c>
      <c r="B70" s="56" t="s">
        <v>328</v>
      </c>
      <c r="C70" s="56" t="s">
        <v>329</v>
      </c>
      <c r="D70" s="61" t="s">
        <v>162</v>
      </c>
      <c r="E70" s="56" t="s">
        <v>77</v>
      </c>
      <c r="F70" s="56" t="s">
        <v>77</v>
      </c>
      <c r="G70" s="58" t="s">
        <v>153</v>
      </c>
      <c r="H70" s="57">
        <v>2025</v>
      </c>
      <c r="I70" s="57">
        <f t="shared" ca="1" si="3"/>
        <v>1</v>
      </c>
      <c r="J70" s="57">
        <v>2025</v>
      </c>
      <c r="K70" s="59">
        <f t="shared" ca="1" si="7"/>
        <v>1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 ht="12.5" x14ac:dyDescent="0.2">
      <c r="A71" s="60" t="s">
        <v>11</v>
      </c>
      <c r="B71" s="56" t="s">
        <v>330</v>
      </c>
      <c r="C71" s="56" t="s">
        <v>331</v>
      </c>
      <c r="D71" s="61" t="s">
        <v>173</v>
      </c>
      <c r="E71" s="60" t="s">
        <v>76</v>
      </c>
      <c r="F71" s="60"/>
      <c r="G71" s="62" t="s">
        <v>10</v>
      </c>
      <c r="H71" s="61">
        <v>2001</v>
      </c>
      <c r="I71" s="62">
        <f t="shared" ca="1" si="3"/>
        <v>25</v>
      </c>
      <c r="J71" s="62">
        <v>2006</v>
      </c>
      <c r="K71" s="63">
        <f t="shared" ca="1" si="7"/>
        <v>20</v>
      </c>
    </row>
    <row r="72" spans="1:119" ht="12.5" x14ac:dyDescent="0.2">
      <c r="A72" s="60" t="s">
        <v>9</v>
      </c>
      <c r="B72" s="56" t="s">
        <v>332</v>
      </c>
      <c r="C72" s="56" t="s">
        <v>333</v>
      </c>
      <c r="D72" s="61" t="s">
        <v>172</v>
      </c>
      <c r="E72" s="60" t="s">
        <v>76</v>
      </c>
      <c r="F72" s="60"/>
      <c r="G72" s="62" t="s">
        <v>8</v>
      </c>
      <c r="H72" s="61">
        <v>1989</v>
      </c>
      <c r="I72" s="62">
        <f t="shared" ca="1" si="3"/>
        <v>37</v>
      </c>
      <c r="J72" s="62">
        <v>2012</v>
      </c>
      <c r="K72" s="63">
        <f t="shared" ca="1" si="7"/>
        <v>14</v>
      </c>
    </row>
    <row r="73" spans="1:119" ht="12.5" x14ac:dyDescent="0.2">
      <c r="A73" s="60" t="s">
        <v>7</v>
      </c>
      <c r="B73" s="56" t="s">
        <v>334</v>
      </c>
      <c r="C73" s="56" t="s">
        <v>335</v>
      </c>
      <c r="D73" s="61" t="s">
        <v>164</v>
      </c>
      <c r="E73" s="60" t="s">
        <v>76</v>
      </c>
      <c r="F73" s="60"/>
      <c r="G73" s="62" t="s">
        <v>6</v>
      </c>
      <c r="H73" s="61">
        <v>1999</v>
      </c>
      <c r="I73" s="62">
        <f t="shared" ca="1" si="3"/>
        <v>27</v>
      </c>
      <c r="J73" s="62">
        <v>2005</v>
      </c>
      <c r="K73" s="63">
        <f t="shared" ca="1" si="7"/>
        <v>21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 ht="12.5" x14ac:dyDescent="0.2">
      <c r="A74" s="56" t="s">
        <v>64</v>
      </c>
      <c r="B74" s="56" t="s">
        <v>336</v>
      </c>
      <c r="C74" s="56" t="s">
        <v>337</v>
      </c>
      <c r="D74" s="61" t="s">
        <v>162</v>
      </c>
      <c r="E74" s="56" t="s">
        <v>77</v>
      </c>
      <c r="F74" s="56" t="s">
        <v>77</v>
      </c>
      <c r="G74" s="58" t="s">
        <v>153</v>
      </c>
      <c r="H74" s="57">
        <v>2005</v>
      </c>
      <c r="I74" s="62">
        <f t="shared" ca="1" si="3"/>
        <v>21</v>
      </c>
      <c r="J74" s="57">
        <v>2005</v>
      </c>
      <c r="K74" s="59">
        <f t="shared" ca="1" si="7"/>
        <v>21</v>
      </c>
    </row>
    <row r="75" spans="1:119" ht="13" customHeight="1" x14ac:dyDescent="0.2">
      <c r="A75" s="56" t="s">
        <v>84</v>
      </c>
      <c r="B75" s="56" t="s">
        <v>338</v>
      </c>
      <c r="C75" s="56" t="s">
        <v>339</v>
      </c>
      <c r="D75" s="57" t="s">
        <v>163</v>
      </c>
      <c r="E75" s="56" t="s">
        <v>77</v>
      </c>
      <c r="F75" s="56" t="s">
        <v>77</v>
      </c>
      <c r="G75" s="58" t="s">
        <v>210</v>
      </c>
      <c r="H75" s="57">
        <v>2022</v>
      </c>
      <c r="I75" s="57">
        <f t="shared" ca="1" si="3"/>
        <v>4</v>
      </c>
      <c r="J75" s="57">
        <v>2023</v>
      </c>
      <c r="K75" s="57">
        <f t="shared" ca="1" si="7"/>
        <v>3</v>
      </c>
    </row>
    <row r="76" spans="1:119" ht="12.5" x14ac:dyDescent="0.2">
      <c r="A76" s="60" t="s">
        <v>5</v>
      </c>
      <c r="B76" s="56" t="s">
        <v>340</v>
      </c>
      <c r="C76" s="56" t="s">
        <v>341</v>
      </c>
      <c r="D76" s="61" t="s">
        <v>172</v>
      </c>
      <c r="E76" s="60" t="s">
        <v>76</v>
      </c>
      <c r="F76" s="60"/>
      <c r="G76" s="62" t="s">
        <v>160</v>
      </c>
      <c r="H76" s="61">
        <v>1991</v>
      </c>
      <c r="I76" s="62">
        <f t="shared" ca="1" si="3"/>
        <v>35</v>
      </c>
      <c r="J76" s="62">
        <v>2010</v>
      </c>
      <c r="K76" s="63">
        <f t="shared" ca="1" si="7"/>
        <v>16</v>
      </c>
    </row>
    <row r="77" spans="1:119" ht="12.5" x14ac:dyDescent="0.2">
      <c r="A77" s="56" t="s">
        <v>65</v>
      </c>
      <c r="B77" s="56" t="s">
        <v>342</v>
      </c>
      <c r="C77" s="56" t="s">
        <v>343</v>
      </c>
      <c r="D77" s="61" t="s">
        <v>165</v>
      </c>
      <c r="E77" s="56" t="s">
        <v>77</v>
      </c>
      <c r="F77" s="56" t="s">
        <v>77</v>
      </c>
      <c r="G77" s="58" t="s">
        <v>66</v>
      </c>
      <c r="H77" s="57">
        <v>2005</v>
      </c>
      <c r="I77" s="62">
        <f t="shared" ca="1" si="3"/>
        <v>21</v>
      </c>
      <c r="J77" s="57">
        <v>2006</v>
      </c>
      <c r="K77" s="59">
        <f t="shared" ca="1" si="7"/>
        <v>20</v>
      </c>
    </row>
    <row r="78" spans="1:119" ht="25" x14ac:dyDescent="0.2">
      <c r="A78" s="60" t="s">
        <v>4</v>
      </c>
      <c r="B78" s="56" t="s">
        <v>344</v>
      </c>
      <c r="C78" s="56" t="s">
        <v>345</v>
      </c>
      <c r="D78" s="61" t="s">
        <v>174</v>
      </c>
      <c r="E78" s="60" t="s">
        <v>76</v>
      </c>
      <c r="F78" s="60"/>
      <c r="G78" s="62" t="s">
        <v>145</v>
      </c>
      <c r="H78" s="61">
        <v>2000</v>
      </c>
      <c r="I78" s="62">
        <f t="shared" ca="1" si="3"/>
        <v>26</v>
      </c>
      <c r="J78" s="62">
        <v>2013</v>
      </c>
      <c r="K78" s="63">
        <f t="shared" ca="1" si="7"/>
        <v>13</v>
      </c>
    </row>
    <row r="79" spans="1:119" ht="12.5" x14ac:dyDescent="0.2">
      <c r="A79" s="60" t="s">
        <v>224</v>
      </c>
      <c r="B79" s="56" t="s">
        <v>346</v>
      </c>
      <c r="C79" s="56" t="s">
        <v>347</v>
      </c>
      <c r="D79" s="61" t="s">
        <v>225</v>
      </c>
      <c r="E79" s="60" t="s">
        <v>75</v>
      </c>
      <c r="F79" s="79"/>
      <c r="G79" s="62" t="s">
        <v>226</v>
      </c>
      <c r="H79" s="61">
        <v>1998</v>
      </c>
      <c r="I79" s="62">
        <f t="shared" ca="1" si="3"/>
        <v>28</v>
      </c>
      <c r="J79" s="62">
        <v>2000</v>
      </c>
      <c r="K79" s="63">
        <f t="shared" ca="1" si="7"/>
        <v>26</v>
      </c>
    </row>
    <row r="80" spans="1:119" ht="25" x14ac:dyDescent="0.2">
      <c r="A80" s="60" t="s">
        <v>2</v>
      </c>
      <c r="B80" s="56" t="s">
        <v>348</v>
      </c>
      <c r="C80" s="56" t="s">
        <v>349</v>
      </c>
      <c r="D80" s="61" t="s">
        <v>161</v>
      </c>
      <c r="E80" s="60" t="s">
        <v>76</v>
      </c>
      <c r="F80" s="60"/>
      <c r="G80" s="62" t="s">
        <v>1</v>
      </c>
      <c r="H80" s="61">
        <v>2008</v>
      </c>
      <c r="I80" s="62">
        <f t="shared" ca="1" si="3"/>
        <v>18</v>
      </c>
      <c r="J80" s="62">
        <v>2010</v>
      </c>
      <c r="K80" s="63">
        <f t="shared" ca="1" si="7"/>
        <v>16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" ht="25" x14ac:dyDescent="0.2">
      <c r="A81" s="56" t="s">
        <v>0</v>
      </c>
      <c r="B81" s="56" t="s">
        <v>350</v>
      </c>
      <c r="C81" s="56" t="s">
        <v>351</v>
      </c>
      <c r="D81" s="78" t="s">
        <v>163</v>
      </c>
      <c r="E81" s="74" t="s">
        <v>75</v>
      </c>
      <c r="F81" s="77" t="s">
        <v>76</v>
      </c>
      <c r="G81" s="75" t="s">
        <v>103</v>
      </c>
      <c r="H81" s="80">
        <v>1990</v>
      </c>
      <c r="I81" s="75">
        <f t="shared" ca="1" si="3"/>
        <v>36</v>
      </c>
      <c r="J81" s="75">
        <v>2008</v>
      </c>
      <c r="K81" s="76">
        <f t="shared" ca="1" si="7"/>
        <v>18</v>
      </c>
    </row>
    <row r="83" spans="1:11" x14ac:dyDescent="0.2">
      <c r="A83" s="5"/>
      <c r="B83" s="5"/>
      <c r="C83" s="5"/>
      <c r="D83" s="47"/>
      <c r="E83" s="5"/>
      <c r="F83" s="5"/>
      <c r="G83" s="5"/>
      <c r="H83" s="5"/>
      <c r="I83" s="5"/>
      <c r="J83" s="5"/>
      <c r="K83" s="5"/>
    </row>
    <row r="84" spans="1:11" s="5" customFormat="1" x14ac:dyDescent="0.2">
      <c r="D84" s="47"/>
    </row>
    <row r="85" spans="1:11" s="5" customFormat="1" ht="10.5" x14ac:dyDescent="0.2">
      <c r="B85" s="81" t="s">
        <v>232</v>
      </c>
      <c r="D85" s="47"/>
    </row>
    <row r="86" spans="1:11" s="5" customFormat="1" x14ac:dyDescent="0.2">
      <c r="B86" s="5" t="s">
        <v>233</v>
      </c>
      <c r="C86" s="5" t="s">
        <v>248</v>
      </c>
      <c r="D86" s="47"/>
    </row>
    <row r="87" spans="1:11" s="5" customFormat="1" x14ac:dyDescent="0.2">
      <c r="B87" s="5" t="s">
        <v>234</v>
      </c>
      <c r="C87" s="5" t="s">
        <v>249</v>
      </c>
      <c r="D87" s="47"/>
    </row>
    <row r="88" spans="1:11" s="5" customFormat="1" x14ac:dyDescent="0.2">
      <c r="B88" s="5" t="s">
        <v>235</v>
      </c>
      <c r="C88" s="5" t="s">
        <v>250</v>
      </c>
      <c r="D88" s="47"/>
    </row>
    <row r="89" spans="1:11" s="5" customFormat="1" x14ac:dyDescent="0.2">
      <c r="D89" s="47"/>
    </row>
    <row r="90" spans="1:11" s="5" customFormat="1" x14ac:dyDescent="0.2">
      <c r="B90" s="5" t="s">
        <v>236</v>
      </c>
      <c r="C90" s="5" t="s">
        <v>269</v>
      </c>
      <c r="D90" s="47"/>
    </row>
    <row r="91" spans="1:11" s="5" customFormat="1" x14ac:dyDescent="0.2">
      <c r="B91" s="5" t="s">
        <v>237</v>
      </c>
      <c r="C91" s="5" t="s">
        <v>251</v>
      </c>
      <c r="D91" s="47"/>
    </row>
    <row r="92" spans="1:11" s="5" customFormat="1" x14ac:dyDescent="0.2">
      <c r="B92" s="5" t="s">
        <v>238</v>
      </c>
      <c r="C92" s="5" t="s">
        <v>268</v>
      </c>
      <c r="D92" s="47"/>
    </row>
    <row r="93" spans="1:11" s="5" customFormat="1" x14ac:dyDescent="0.2">
      <c r="B93" s="5" t="s">
        <v>239</v>
      </c>
      <c r="C93" s="5" t="s">
        <v>252</v>
      </c>
      <c r="D93" s="47"/>
    </row>
    <row r="94" spans="1:11" s="5" customFormat="1" x14ac:dyDescent="0.2">
      <c r="D94" s="47"/>
    </row>
    <row r="95" spans="1:11" s="5" customFormat="1" x14ac:dyDescent="0.2">
      <c r="B95" s="5" t="s">
        <v>240</v>
      </c>
      <c r="C95" s="5" t="s">
        <v>253</v>
      </c>
      <c r="D95" s="47"/>
    </row>
    <row r="96" spans="1:11" s="5" customFormat="1" x14ac:dyDescent="0.2">
      <c r="B96" s="5" t="s">
        <v>241</v>
      </c>
      <c r="C96" s="5" t="s">
        <v>254</v>
      </c>
      <c r="D96" s="47"/>
    </row>
    <row r="97" spans="1:7" s="5" customFormat="1" x14ac:dyDescent="0.2">
      <c r="B97" s="5" t="s">
        <v>242</v>
      </c>
      <c r="C97" s="5" t="s">
        <v>255</v>
      </c>
      <c r="D97" s="47"/>
    </row>
    <row r="98" spans="1:7" s="5" customFormat="1" x14ac:dyDescent="0.2">
      <c r="D98" s="47"/>
    </row>
    <row r="99" spans="1:7" s="5" customFormat="1" x14ac:dyDescent="0.2">
      <c r="B99" s="5" t="s">
        <v>243</v>
      </c>
      <c r="C99" s="5" t="s">
        <v>256</v>
      </c>
      <c r="D99" s="47"/>
    </row>
    <row r="100" spans="1:7" s="5" customFormat="1" x14ac:dyDescent="0.2">
      <c r="B100" s="5" t="s">
        <v>244</v>
      </c>
      <c r="C100" s="5" t="s">
        <v>257</v>
      </c>
      <c r="D100" s="47"/>
    </row>
    <row r="101" spans="1:7" s="5" customFormat="1" x14ac:dyDescent="0.2">
      <c r="B101" s="5" t="s">
        <v>245</v>
      </c>
      <c r="C101" s="5" t="s">
        <v>258</v>
      </c>
      <c r="D101" s="47"/>
    </row>
    <row r="102" spans="1:7" s="5" customFormat="1" x14ac:dyDescent="0.2">
      <c r="D102" s="47"/>
    </row>
    <row r="103" spans="1:7" s="5" customFormat="1" ht="10.5" x14ac:dyDescent="0.2">
      <c r="B103" s="81" t="s">
        <v>246</v>
      </c>
      <c r="D103" s="47"/>
    </row>
    <row r="104" spans="1:7" s="5" customFormat="1" x14ac:dyDescent="0.2">
      <c r="B104" s="5" t="s">
        <v>247</v>
      </c>
      <c r="C104" s="5" t="s">
        <v>259</v>
      </c>
      <c r="D104" s="47"/>
    </row>
    <row r="105" spans="1:7" s="5" customFormat="1" x14ac:dyDescent="0.2">
      <c r="B105" s="5" t="s">
        <v>239</v>
      </c>
      <c r="C105" s="5" t="s">
        <v>267</v>
      </c>
      <c r="D105" s="47"/>
    </row>
    <row r="106" spans="1:7" s="5" customFormat="1" ht="11.5" x14ac:dyDescent="0.2">
      <c r="A106" s="6"/>
      <c r="B106" s="5" t="s">
        <v>242</v>
      </c>
      <c r="C106" s="5" t="s">
        <v>260</v>
      </c>
      <c r="D106" s="48"/>
      <c r="E106" s="6"/>
      <c r="F106" s="6"/>
      <c r="G106" s="6"/>
    </row>
    <row r="107" spans="1:7" s="5" customFormat="1" ht="11.5" x14ac:dyDescent="0.2">
      <c r="A107" s="6"/>
      <c r="B107" s="5" t="s">
        <v>245</v>
      </c>
      <c r="C107" s="5" t="s">
        <v>261</v>
      </c>
      <c r="D107" s="48"/>
      <c r="E107" s="6"/>
      <c r="F107" s="6"/>
      <c r="G107" s="6"/>
    </row>
    <row r="108" spans="1:7" s="5" customFormat="1" ht="11.5" x14ac:dyDescent="0.2">
      <c r="A108" s="6"/>
      <c r="B108" s="6"/>
      <c r="C108" s="6"/>
      <c r="D108" s="48"/>
      <c r="E108" s="6"/>
      <c r="F108" s="6"/>
      <c r="G108" s="6"/>
    </row>
    <row r="109" spans="1:7" s="5" customFormat="1" ht="10.5" x14ac:dyDescent="0.2">
      <c r="B109" s="81" t="s">
        <v>262</v>
      </c>
      <c r="D109" s="47"/>
    </row>
    <row r="110" spans="1:7" s="5" customFormat="1" x14ac:dyDescent="0.2">
      <c r="B110" s="5" t="s">
        <v>233</v>
      </c>
      <c r="C110" s="5" t="s">
        <v>263</v>
      </c>
      <c r="D110" s="47"/>
    </row>
    <row r="111" spans="1:7" s="5" customFormat="1" x14ac:dyDescent="0.2">
      <c r="B111" s="5" t="s">
        <v>234</v>
      </c>
      <c r="C111" s="5" t="s">
        <v>264</v>
      </c>
      <c r="D111" s="47"/>
    </row>
    <row r="112" spans="1:7" s="5" customFormat="1" x14ac:dyDescent="0.2">
      <c r="B112" s="5" t="s">
        <v>235</v>
      </c>
      <c r="C112" s="5" t="s">
        <v>265</v>
      </c>
      <c r="D112" s="47"/>
    </row>
    <row r="113" spans="2:4" s="5" customFormat="1" x14ac:dyDescent="0.2">
      <c r="D113" s="47"/>
    </row>
    <row r="114" spans="2:4" s="5" customFormat="1" x14ac:dyDescent="0.2">
      <c r="B114" s="5" t="s">
        <v>236</v>
      </c>
      <c r="C114" s="5" t="s">
        <v>266</v>
      </c>
      <c r="D114" s="47"/>
    </row>
    <row r="115" spans="2:4" s="5" customFormat="1" x14ac:dyDescent="0.2">
      <c r="B115" s="5" t="s">
        <v>237</v>
      </c>
      <c r="C115" s="5" t="s">
        <v>270</v>
      </c>
      <c r="D115" s="47"/>
    </row>
    <row r="116" spans="2:4" s="5" customFormat="1" x14ac:dyDescent="0.2">
      <c r="B116" s="5" t="s">
        <v>238</v>
      </c>
      <c r="C116" s="5" t="s">
        <v>271</v>
      </c>
      <c r="D116" s="47"/>
    </row>
    <row r="117" spans="2:4" s="5" customFormat="1" x14ac:dyDescent="0.2">
      <c r="B117" s="5" t="s">
        <v>239</v>
      </c>
      <c r="C117" s="5" t="s">
        <v>272</v>
      </c>
      <c r="D117" s="47"/>
    </row>
    <row r="118" spans="2:4" s="5" customFormat="1" x14ac:dyDescent="0.2">
      <c r="D118" s="47"/>
    </row>
    <row r="119" spans="2:4" s="5" customFormat="1" x14ac:dyDescent="0.2">
      <c r="B119" s="5" t="s">
        <v>240</v>
      </c>
      <c r="C119" s="5" t="s">
        <v>273</v>
      </c>
      <c r="D119" s="47"/>
    </row>
    <row r="120" spans="2:4" s="5" customFormat="1" x14ac:dyDescent="0.2">
      <c r="B120" s="5" t="s">
        <v>241</v>
      </c>
      <c r="C120" s="5" t="s">
        <v>274</v>
      </c>
      <c r="D120" s="47"/>
    </row>
    <row r="121" spans="2:4" s="5" customFormat="1" x14ac:dyDescent="0.2">
      <c r="B121" s="5" t="s">
        <v>242</v>
      </c>
      <c r="C121" s="5" t="s">
        <v>275</v>
      </c>
      <c r="D121" s="47"/>
    </row>
    <row r="122" spans="2:4" s="5" customFormat="1" x14ac:dyDescent="0.2">
      <c r="D122" s="47"/>
    </row>
    <row r="123" spans="2:4" s="5" customFormat="1" x14ac:dyDescent="0.2">
      <c r="B123" s="5" t="s">
        <v>243</v>
      </c>
      <c r="C123" s="5" t="s">
        <v>276</v>
      </c>
      <c r="D123" s="47"/>
    </row>
    <row r="124" spans="2:4" s="5" customFormat="1" x14ac:dyDescent="0.2">
      <c r="B124" s="5" t="s">
        <v>244</v>
      </c>
      <c r="C124" s="5" t="s">
        <v>277</v>
      </c>
      <c r="D124" s="47"/>
    </row>
    <row r="125" spans="2:4" s="5" customFormat="1" x14ac:dyDescent="0.2">
      <c r="B125" s="5" t="s">
        <v>245</v>
      </c>
      <c r="C125" s="5" t="s">
        <v>278</v>
      </c>
      <c r="D125" s="47"/>
    </row>
    <row r="126" spans="2:4" s="5" customFormat="1" x14ac:dyDescent="0.2">
      <c r="D126" s="47"/>
    </row>
    <row r="127" spans="2:4" s="5" customFormat="1" x14ac:dyDescent="0.2">
      <c r="D127" s="47"/>
    </row>
    <row r="128" spans="2:4" s="5" customFormat="1" x14ac:dyDescent="0.2">
      <c r="D128" s="47"/>
    </row>
    <row r="129" spans="1:11" s="5" customFormat="1" x14ac:dyDescent="0.2">
      <c r="D129" s="47"/>
    </row>
    <row r="130" spans="1:11" s="5" customFormat="1" x14ac:dyDescent="0.2">
      <c r="D130" s="47"/>
    </row>
    <row r="131" spans="1:11" s="5" customFormat="1" x14ac:dyDescent="0.2">
      <c r="D131" s="47"/>
    </row>
    <row r="132" spans="1:11" s="5" customFormat="1" x14ac:dyDescent="0.2">
      <c r="D132" s="47"/>
    </row>
    <row r="133" spans="1:11" s="5" customFormat="1" x14ac:dyDescent="0.2">
      <c r="D133" s="47"/>
    </row>
    <row r="134" spans="1:11" s="5" customFormat="1" x14ac:dyDescent="0.2">
      <c r="D134" s="47"/>
    </row>
    <row r="135" spans="1:11" s="5" customFormat="1" x14ac:dyDescent="0.2">
      <c r="D135" s="47"/>
    </row>
    <row r="136" spans="1:11" s="5" customFormat="1" x14ac:dyDescent="0.2">
      <c r="A136"/>
      <c r="D136" s="2"/>
      <c r="E136"/>
      <c r="F136"/>
      <c r="G136"/>
      <c r="H136"/>
    </row>
    <row r="137" spans="1:11" s="5" customFormat="1" x14ac:dyDescent="0.2">
      <c r="A137"/>
      <c r="B137"/>
      <c r="C137"/>
      <c r="D137" s="2"/>
      <c r="E137"/>
      <c r="F137"/>
      <c r="G137"/>
      <c r="H137"/>
      <c r="I137"/>
      <c r="J137"/>
      <c r="K137"/>
    </row>
  </sheetData>
  <sortState xmlns:xlrd2="http://schemas.microsoft.com/office/spreadsheetml/2017/richdata2" ref="A2:K81">
    <sortCondition ref="A2:A81"/>
  </sortState>
  <pageMargins left="0.7" right="0.7" top="0.75" bottom="0.75" header="0.3" footer="0.3"/>
  <pageSetup paperSize="9" scale="6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5E84C-8867-46ED-ABAA-BF4DE1B5190C}">
  <dimension ref="A1:J60"/>
  <sheetViews>
    <sheetView showGridLines="0" workbookViewId="0">
      <selection activeCell="J25" sqref="J25"/>
    </sheetView>
  </sheetViews>
  <sheetFormatPr baseColWidth="10" defaultRowHeight="10" x14ac:dyDescent="0.2"/>
  <cols>
    <col min="1" max="1" width="32.21875" customWidth="1"/>
    <col min="2" max="3" width="11.109375" customWidth="1"/>
    <col min="4" max="4" width="13.33203125" customWidth="1"/>
    <col min="5" max="6" width="21.109375" customWidth="1"/>
    <col min="7" max="7" width="18.88671875" customWidth="1"/>
    <col min="8" max="8" width="21.109375" customWidth="1"/>
    <col min="9" max="9" width="22.21875" customWidth="1"/>
    <col min="10" max="10" width="14.44140625" customWidth="1"/>
  </cols>
  <sheetData>
    <row r="1" spans="1:10" ht="30" customHeight="1" x14ac:dyDescent="0.45">
      <c r="A1" s="95" t="s">
        <v>496</v>
      </c>
      <c r="B1" s="95"/>
      <c r="C1" s="95"/>
      <c r="D1" s="95"/>
      <c r="E1" s="95"/>
      <c r="F1" s="95"/>
      <c r="G1" s="95"/>
      <c r="H1" s="95"/>
      <c r="I1" s="95"/>
      <c r="J1" s="95"/>
    </row>
    <row r="2" spans="1:10" ht="18" customHeight="1" x14ac:dyDescent="0.3">
      <c r="A2" s="96" t="s">
        <v>497</v>
      </c>
      <c r="B2" s="96"/>
      <c r="C2" s="96"/>
      <c r="D2" s="96"/>
      <c r="E2" s="96"/>
      <c r="F2" s="96"/>
      <c r="G2" s="96"/>
      <c r="H2" s="96"/>
      <c r="I2" s="96"/>
      <c r="J2" s="96"/>
    </row>
    <row r="3" spans="1:10" ht="18" customHeight="1" x14ac:dyDescent="0.25">
      <c r="A3" s="97" t="s">
        <v>498</v>
      </c>
      <c r="B3" s="97"/>
      <c r="C3" s="97" t="s">
        <v>499</v>
      </c>
      <c r="D3" s="97"/>
      <c r="E3" s="97" t="s">
        <v>500</v>
      </c>
      <c r="F3" s="97"/>
      <c r="G3" s="97" t="s">
        <v>501</v>
      </c>
      <c r="H3" s="97"/>
      <c r="I3" s="97" t="s">
        <v>502</v>
      </c>
      <c r="J3" s="97"/>
    </row>
    <row r="4" spans="1:10" ht="36" customHeight="1" x14ac:dyDescent="0.4">
      <c r="A4" s="98">
        <f>COUNTA(A9:A41)</f>
        <v>33</v>
      </c>
      <c r="B4" s="99"/>
      <c r="C4" s="98">
        <f>COUNTIF(D9:D41,"Terminé")</f>
        <v>0</v>
      </c>
      <c r="D4" s="99"/>
      <c r="E4" s="103">
        <f>(COUNTIF(B9:B41,TRUE)+COUNTIF(C9:C41,TRUE))/(COUNTA(A9:A41)*2)</f>
        <v>0</v>
      </c>
      <c r="F4" s="99"/>
      <c r="G4" s="98">
        <f>COUNTIF(D9:D41,"En cours")</f>
        <v>0</v>
      </c>
      <c r="H4" s="99"/>
      <c r="I4" s="98">
        <f>COUNTIF(H9:H41,"&lt;&gt;")</f>
        <v>0</v>
      </c>
      <c r="J4" s="99"/>
    </row>
    <row r="5" spans="1:10" ht="18" customHeight="1" x14ac:dyDescent="0.2"/>
    <row r="6" spans="1:10" ht="32" customHeight="1" x14ac:dyDescent="0.25">
      <c r="A6" s="100" t="s">
        <v>503</v>
      </c>
      <c r="B6" s="100"/>
      <c r="C6" s="100"/>
      <c r="D6" s="100"/>
      <c r="E6" s="100"/>
      <c r="F6" s="100"/>
      <c r="G6" s="100"/>
      <c r="H6" s="100"/>
      <c r="I6" s="100"/>
      <c r="J6" s="100"/>
    </row>
    <row r="7" spans="1:10" ht="18" customHeight="1" x14ac:dyDescent="0.2"/>
    <row r="8" spans="1:10" ht="30" customHeight="1" x14ac:dyDescent="0.2">
      <c r="A8" s="93" t="s">
        <v>458</v>
      </c>
      <c r="B8" s="93" t="s">
        <v>504</v>
      </c>
      <c r="C8" s="93" t="s">
        <v>505</v>
      </c>
      <c r="D8" s="93" t="s">
        <v>459</v>
      </c>
      <c r="E8" s="93" t="s">
        <v>506</v>
      </c>
      <c r="F8" s="93" t="s">
        <v>507</v>
      </c>
      <c r="G8" s="93" t="s">
        <v>460</v>
      </c>
      <c r="H8" s="93" t="s">
        <v>508</v>
      </c>
      <c r="I8" s="93" t="s">
        <v>509</v>
      </c>
      <c r="J8" s="93" t="s">
        <v>510</v>
      </c>
    </row>
    <row r="9" spans="1:10" x14ac:dyDescent="0.2">
      <c r="A9" s="5" t="s">
        <v>461</v>
      </c>
      <c r="B9" s="87" t="b">
        <v>0</v>
      </c>
      <c r="C9" s="87" t="b">
        <v>0</v>
      </c>
      <c r="D9" s="47" t="str">
        <f>IF(AND(B9,C9),"Terminé",IF(OR(B9,C9),"En cours","À faire"))</f>
        <v>À faire</v>
      </c>
      <c r="E9" s="83"/>
      <c r="F9" s="83"/>
      <c r="G9" s="88"/>
      <c r="H9" s="88"/>
      <c r="I9" s="83"/>
      <c r="J9" s="86"/>
    </row>
    <row r="10" spans="1:10" x14ac:dyDescent="0.2">
      <c r="A10" s="5" t="s">
        <v>462</v>
      </c>
      <c r="B10" s="87" t="b">
        <v>0</v>
      </c>
      <c r="C10" s="87" t="b">
        <v>0</v>
      </c>
      <c r="D10" s="47" t="str">
        <f t="shared" ref="D10:D41" si="0">IF(AND(B10,C10),"Terminé",IF(OR(B10,C10),"En cours","À faire"))</f>
        <v>À faire</v>
      </c>
      <c r="E10" s="83"/>
      <c r="F10" s="83"/>
      <c r="G10" s="88"/>
      <c r="H10" s="88"/>
      <c r="I10" s="83"/>
      <c r="J10" s="86"/>
    </row>
    <row r="11" spans="1:10" x14ac:dyDescent="0.2">
      <c r="A11" s="5" t="s">
        <v>463</v>
      </c>
      <c r="B11" s="87" t="b">
        <v>0</v>
      </c>
      <c r="C11" s="87" t="b">
        <v>0</v>
      </c>
      <c r="D11" s="47" t="str">
        <f t="shared" si="0"/>
        <v>À faire</v>
      </c>
      <c r="E11" s="83"/>
      <c r="F11" s="83"/>
      <c r="G11" s="88"/>
      <c r="H11" s="88"/>
      <c r="I11" s="83"/>
      <c r="J11" s="86"/>
    </row>
    <row r="12" spans="1:10" x14ac:dyDescent="0.2">
      <c r="A12" s="5" t="s">
        <v>464</v>
      </c>
      <c r="B12" s="87" t="b">
        <v>0</v>
      </c>
      <c r="C12" s="87" t="b">
        <v>0</v>
      </c>
      <c r="D12" s="47" t="str">
        <f t="shared" si="0"/>
        <v>À faire</v>
      </c>
      <c r="E12" s="83"/>
      <c r="F12" s="83"/>
      <c r="G12" s="88"/>
      <c r="H12" s="88"/>
      <c r="I12" s="83"/>
      <c r="J12" s="86"/>
    </row>
    <row r="13" spans="1:10" x14ac:dyDescent="0.2">
      <c r="A13" s="5" t="s">
        <v>465</v>
      </c>
      <c r="B13" s="87" t="b">
        <v>0</v>
      </c>
      <c r="C13" s="87" t="b">
        <v>0</v>
      </c>
      <c r="D13" s="47" t="str">
        <f t="shared" si="0"/>
        <v>À faire</v>
      </c>
      <c r="E13" s="83"/>
      <c r="F13" s="83"/>
      <c r="G13" s="88"/>
      <c r="H13" s="88"/>
      <c r="I13" s="83"/>
      <c r="J13" s="86"/>
    </row>
    <row r="14" spans="1:10" x14ac:dyDescent="0.2">
      <c r="A14" s="5" t="s">
        <v>466</v>
      </c>
      <c r="B14" s="87" t="b">
        <v>0</v>
      </c>
      <c r="C14" s="87" t="b">
        <v>0</v>
      </c>
      <c r="D14" s="47" t="str">
        <f t="shared" si="0"/>
        <v>À faire</v>
      </c>
      <c r="E14" s="83"/>
      <c r="F14" s="83"/>
      <c r="G14" s="88"/>
      <c r="H14" s="88"/>
      <c r="I14" s="83"/>
      <c r="J14" s="86"/>
    </row>
    <row r="15" spans="1:10" x14ac:dyDescent="0.2">
      <c r="A15" s="5" t="s">
        <v>467</v>
      </c>
      <c r="B15" s="87" t="b">
        <v>0</v>
      </c>
      <c r="C15" s="87" t="b">
        <v>0</v>
      </c>
      <c r="D15" s="47" t="str">
        <f t="shared" si="0"/>
        <v>À faire</v>
      </c>
      <c r="E15" s="83"/>
      <c r="F15" s="83"/>
      <c r="G15" s="88"/>
      <c r="H15" s="88"/>
      <c r="I15" s="83"/>
      <c r="J15" s="86"/>
    </row>
    <row r="16" spans="1:10" x14ac:dyDescent="0.2">
      <c r="A16" s="5" t="s">
        <v>468</v>
      </c>
      <c r="B16" s="87" t="b">
        <v>0</v>
      </c>
      <c r="C16" s="87" t="b">
        <v>0</v>
      </c>
      <c r="D16" s="47" t="str">
        <f t="shared" si="0"/>
        <v>À faire</v>
      </c>
      <c r="E16" s="83"/>
      <c r="F16" s="83"/>
      <c r="G16" s="88"/>
      <c r="H16" s="88"/>
      <c r="I16" s="83"/>
      <c r="J16" s="86"/>
    </row>
    <row r="17" spans="1:10" x14ac:dyDescent="0.2">
      <c r="A17" s="5" t="s">
        <v>469</v>
      </c>
      <c r="B17" s="87" t="b">
        <v>0</v>
      </c>
      <c r="C17" s="87" t="b">
        <v>0</v>
      </c>
      <c r="D17" s="47" t="str">
        <f t="shared" si="0"/>
        <v>À faire</v>
      </c>
      <c r="E17" s="83"/>
      <c r="F17" s="83"/>
      <c r="G17" s="88"/>
      <c r="H17" s="88"/>
      <c r="I17" s="83"/>
      <c r="J17" s="86"/>
    </row>
    <row r="18" spans="1:10" x14ac:dyDescent="0.2">
      <c r="A18" s="5" t="s">
        <v>470</v>
      </c>
      <c r="B18" s="87" t="b">
        <v>0</v>
      </c>
      <c r="C18" s="87" t="b">
        <v>0</v>
      </c>
      <c r="D18" s="47" t="str">
        <f t="shared" si="0"/>
        <v>À faire</v>
      </c>
      <c r="E18" s="83"/>
      <c r="F18" s="83"/>
      <c r="G18" s="88"/>
      <c r="H18" s="88"/>
      <c r="I18" s="83"/>
      <c r="J18" s="86"/>
    </row>
    <row r="19" spans="1:10" x14ac:dyDescent="0.2">
      <c r="A19" s="5" t="s">
        <v>471</v>
      </c>
      <c r="B19" s="87" t="b">
        <v>0</v>
      </c>
      <c r="C19" s="87" t="b">
        <v>0</v>
      </c>
      <c r="D19" s="47" t="str">
        <f t="shared" si="0"/>
        <v>À faire</v>
      </c>
      <c r="E19" s="83"/>
      <c r="F19" s="83"/>
      <c r="G19" s="88"/>
      <c r="H19" s="88"/>
      <c r="I19" s="83"/>
      <c r="J19" s="86"/>
    </row>
    <row r="20" spans="1:10" x14ac:dyDescent="0.2">
      <c r="A20" s="5" t="s">
        <v>472</v>
      </c>
      <c r="B20" s="87" t="b">
        <v>0</v>
      </c>
      <c r="C20" s="87" t="b">
        <v>0</v>
      </c>
      <c r="D20" s="47" t="str">
        <f t="shared" si="0"/>
        <v>À faire</v>
      </c>
      <c r="E20" s="83"/>
      <c r="F20" s="83"/>
      <c r="G20" s="88"/>
      <c r="H20" s="88"/>
      <c r="I20" s="83"/>
      <c r="J20" s="86"/>
    </row>
    <row r="21" spans="1:10" x14ac:dyDescent="0.2">
      <c r="A21" s="5" t="s">
        <v>473</v>
      </c>
      <c r="B21" s="87" t="b">
        <v>0</v>
      </c>
      <c r="C21" s="87" t="b">
        <v>0</v>
      </c>
      <c r="D21" s="47" t="str">
        <f t="shared" si="0"/>
        <v>À faire</v>
      </c>
      <c r="E21" s="83"/>
      <c r="F21" s="83"/>
      <c r="G21" s="88"/>
      <c r="H21" s="88"/>
      <c r="I21" s="83"/>
      <c r="J21" s="86"/>
    </row>
    <row r="22" spans="1:10" x14ac:dyDescent="0.2">
      <c r="A22" s="5" t="s">
        <v>474</v>
      </c>
      <c r="B22" s="87" t="b">
        <v>0</v>
      </c>
      <c r="C22" s="87" t="b">
        <v>0</v>
      </c>
      <c r="D22" s="47" t="str">
        <f t="shared" si="0"/>
        <v>À faire</v>
      </c>
      <c r="E22" s="83"/>
      <c r="F22" s="83"/>
      <c r="G22" s="88"/>
      <c r="H22" s="88"/>
      <c r="I22" s="83"/>
      <c r="J22" s="86"/>
    </row>
    <row r="23" spans="1:10" x14ac:dyDescent="0.2">
      <c r="A23" s="5" t="s">
        <v>475</v>
      </c>
      <c r="B23" s="87" t="b">
        <v>0</v>
      </c>
      <c r="C23" s="87" t="b">
        <v>0</v>
      </c>
      <c r="D23" s="47" t="str">
        <f t="shared" si="0"/>
        <v>À faire</v>
      </c>
      <c r="E23" s="83"/>
      <c r="F23" s="83"/>
      <c r="G23" s="88"/>
      <c r="H23" s="88"/>
      <c r="I23" s="83"/>
      <c r="J23" s="86"/>
    </row>
    <row r="24" spans="1:10" x14ac:dyDescent="0.2">
      <c r="A24" s="5" t="s">
        <v>476</v>
      </c>
      <c r="B24" s="87" t="b">
        <v>0</v>
      </c>
      <c r="C24" s="87" t="b">
        <v>0</v>
      </c>
      <c r="D24" s="47" t="str">
        <f t="shared" si="0"/>
        <v>À faire</v>
      </c>
      <c r="E24" s="83"/>
      <c r="F24" s="83"/>
      <c r="G24" s="88"/>
      <c r="H24" s="88"/>
      <c r="I24" s="83"/>
      <c r="J24" s="86"/>
    </row>
    <row r="25" spans="1:10" x14ac:dyDescent="0.2">
      <c r="A25" s="5" t="s">
        <v>477</v>
      </c>
      <c r="B25" s="87" t="b">
        <v>0</v>
      </c>
      <c r="C25" s="87" t="b">
        <v>0</v>
      </c>
      <c r="D25" s="47" t="str">
        <f t="shared" si="0"/>
        <v>À faire</v>
      </c>
      <c r="E25" s="83"/>
      <c r="F25" s="83"/>
      <c r="G25" s="88"/>
      <c r="H25" s="88"/>
      <c r="I25" s="83"/>
      <c r="J25" s="86"/>
    </row>
    <row r="26" spans="1:10" x14ac:dyDescent="0.2">
      <c r="A26" s="5" t="s">
        <v>478</v>
      </c>
      <c r="B26" s="87" t="b">
        <v>0</v>
      </c>
      <c r="C26" s="87" t="b">
        <v>0</v>
      </c>
      <c r="D26" s="47" t="str">
        <f t="shared" si="0"/>
        <v>À faire</v>
      </c>
      <c r="E26" s="83"/>
      <c r="F26" s="83"/>
      <c r="G26" s="88"/>
      <c r="H26" s="88"/>
      <c r="I26" s="83"/>
      <c r="J26" s="86"/>
    </row>
    <row r="27" spans="1:10" x14ac:dyDescent="0.2">
      <c r="A27" s="5" t="s">
        <v>479</v>
      </c>
      <c r="B27" s="87" t="b">
        <v>0</v>
      </c>
      <c r="C27" s="87" t="b">
        <v>0</v>
      </c>
      <c r="D27" s="47" t="str">
        <f t="shared" si="0"/>
        <v>À faire</v>
      </c>
      <c r="E27" s="83"/>
      <c r="F27" s="83"/>
      <c r="G27" s="88"/>
      <c r="H27" s="88"/>
      <c r="I27" s="83"/>
      <c r="J27" s="86"/>
    </row>
    <row r="28" spans="1:10" x14ac:dyDescent="0.2">
      <c r="A28" s="5" t="s">
        <v>480</v>
      </c>
      <c r="B28" s="87" t="b">
        <v>0</v>
      </c>
      <c r="C28" s="87" t="b">
        <v>0</v>
      </c>
      <c r="D28" s="47" t="str">
        <f t="shared" si="0"/>
        <v>À faire</v>
      </c>
      <c r="E28" s="83"/>
      <c r="F28" s="83"/>
      <c r="G28" s="88"/>
      <c r="H28" s="88"/>
      <c r="I28" s="83"/>
      <c r="J28" s="86"/>
    </row>
    <row r="29" spans="1:10" x14ac:dyDescent="0.2">
      <c r="A29" s="5" t="s">
        <v>481</v>
      </c>
      <c r="B29" s="87" t="b">
        <v>0</v>
      </c>
      <c r="C29" s="87" t="b">
        <v>0</v>
      </c>
      <c r="D29" s="47" t="str">
        <f t="shared" si="0"/>
        <v>À faire</v>
      </c>
      <c r="E29" s="83"/>
      <c r="F29" s="83"/>
      <c r="G29" s="88"/>
      <c r="H29" s="88"/>
      <c r="I29" s="83"/>
      <c r="J29" s="86"/>
    </row>
    <row r="30" spans="1:10" x14ac:dyDescent="0.2">
      <c r="A30" s="5" t="s">
        <v>482</v>
      </c>
      <c r="B30" s="87" t="b">
        <v>0</v>
      </c>
      <c r="C30" s="87" t="b">
        <v>0</v>
      </c>
      <c r="D30" s="47" t="str">
        <f t="shared" si="0"/>
        <v>À faire</v>
      </c>
      <c r="E30" s="83"/>
      <c r="F30" s="83"/>
      <c r="G30" s="88"/>
      <c r="H30" s="88"/>
      <c r="I30" s="83"/>
      <c r="J30" s="86"/>
    </row>
    <row r="31" spans="1:10" x14ac:dyDescent="0.2">
      <c r="A31" s="5" t="s">
        <v>483</v>
      </c>
      <c r="B31" s="87" t="b">
        <v>0</v>
      </c>
      <c r="C31" s="87" t="b">
        <v>0</v>
      </c>
      <c r="D31" s="47" t="str">
        <f t="shared" si="0"/>
        <v>À faire</v>
      </c>
      <c r="E31" s="83"/>
      <c r="F31" s="83"/>
      <c r="G31" s="88"/>
      <c r="H31" s="88"/>
      <c r="I31" s="83"/>
      <c r="J31" s="86"/>
    </row>
    <row r="32" spans="1:10" x14ac:dyDescent="0.2">
      <c r="A32" s="5" t="s">
        <v>484</v>
      </c>
      <c r="B32" s="87" t="b">
        <v>0</v>
      </c>
      <c r="C32" s="87" t="b">
        <v>0</v>
      </c>
      <c r="D32" s="47" t="str">
        <f t="shared" si="0"/>
        <v>À faire</v>
      </c>
      <c r="E32" s="83"/>
      <c r="F32" s="83"/>
      <c r="G32" s="88"/>
      <c r="H32" s="88"/>
      <c r="I32" s="83"/>
      <c r="J32" s="86"/>
    </row>
    <row r="33" spans="1:10" x14ac:dyDescent="0.2">
      <c r="A33" s="5" t="s">
        <v>485</v>
      </c>
      <c r="B33" s="87" t="b">
        <v>0</v>
      </c>
      <c r="C33" s="87" t="b">
        <v>0</v>
      </c>
      <c r="D33" s="47" t="str">
        <f t="shared" si="0"/>
        <v>À faire</v>
      </c>
      <c r="E33" s="83"/>
      <c r="F33" s="83"/>
      <c r="G33" s="88"/>
      <c r="H33" s="88"/>
      <c r="I33" s="83"/>
      <c r="J33" s="86"/>
    </row>
    <row r="34" spans="1:10" x14ac:dyDescent="0.2">
      <c r="A34" s="5" t="s">
        <v>486</v>
      </c>
      <c r="B34" s="87" t="b">
        <v>0</v>
      </c>
      <c r="C34" s="87" t="b">
        <v>0</v>
      </c>
      <c r="D34" s="47" t="str">
        <f t="shared" si="0"/>
        <v>À faire</v>
      </c>
      <c r="E34" s="83"/>
      <c r="F34" s="83"/>
      <c r="G34" s="88"/>
      <c r="H34" s="88"/>
      <c r="I34" s="83"/>
      <c r="J34" s="86"/>
    </row>
    <row r="35" spans="1:10" x14ac:dyDescent="0.2">
      <c r="A35" s="5" t="s">
        <v>487</v>
      </c>
      <c r="B35" s="87" t="b">
        <v>0</v>
      </c>
      <c r="C35" s="87" t="b">
        <v>0</v>
      </c>
      <c r="D35" s="47" t="str">
        <f t="shared" si="0"/>
        <v>À faire</v>
      </c>
      <c r="E35" s="83"/>
      <c r="F35" s="83"/>
      <c r="G35" s="88"/>
      <c r="H35" s="88"/>
      <c r="I35" s="83"/>
      <c r="J35" s="86"/>
    </row>
    <row r="36" spans="1:10" x14ac:dyDescent="0.2">
      <c r="A36" s="5" t="s">
        <v>488</v>
      </c>
      <c r="B36" s="87" t="b">
        <v>0</v>
      </c>
      <c r="C36" s="87" t="b">
        <v>0</v>
      </c>
      <c r="D36" s="47" t="str">
        <f t="shared" si="0"/>
        <v>À faire</v>
      </c>
      <c r="E36" s="83"/>
      <c r="F36" s="83"/>
      <c r="G36" s="88"/>
      <c r="H36" s="88"/>
      <c r="I36" s="83"/>
      <c r="J36" s="86"/>
    </row>
    <row r="37" spans="1:10" x14ac:dyDescent="0.2">
      <c r="A37" s="5" t="s">
        <v>489</v>
      </c>
      <c r="B37" s="87" t="b">
        <v>0</v>
      </c>
      <c r="C37" s="87" t="b">
        <v>0</v>
      </c>
      <c r="D37" s="47" t="str">
        <f t="shared" si="0"/>
        <v>À faire</v>
      </c>
      <c r="E37" s="83"/>
      <c r="F37" s="83"/>
      <c r="G37" s="88"/>
      <c r="H37" s="88"/>
      <c r="I37" s="83"/>
      <c r="J37" s="86"/>
    </row>
    <row r="38" spans="1:10" x14ac:dyDescent="0.2">
      <c r="A38" s="5" t="s">
        <v>490</v>
      </c>
      <c r="B38" s="87" t="b">
        <v>0</v>
      </c>
      <c r="C38" s="87" t="b">
        <v>0</v>
      </c>
      <c r="D38" s="47" t="str">
        <f t="shared" si="0"/>
        <v>À faire</v>
      </c>
      <c r="E38" s="83"/>
      <c r="F38" s="83"/>
      <c r="G38" s="88"/>
      <c r="H38" s="88"/>
      <c r="I38" s="83"/>
      <c r="J38" s="86"/>
    </row>
    <row r="39" spans="1:10" x14ac:dyDescent="0.2">
      <c r="A39" s="5" t="s">
        <v>491</v>
      </c>
      <c r="B39" s="87" t="b">
        <v>0</v>
      </c>
      <c r="C39" s="87" t="b">
        <v>0</v>
      </c>
      <c r="D39" s="47" t="str">
        <f t="shared" si="0"/>
        <v>À faire</v>
      </c>
      <c r="E39" s="83"/>
      <c r="F39" s="83"/>
      <c r="G39" s="88"/>
      <c r="H39" s="88"/>
      <c r="I39" s="83"/>
      <c r="J39" s="86"/>
    </row>
    <row r="40" spans="1:10" x14ac:dyDescent="0.2">
      <c r="A40" s="5" t="s">
        <v>492</v>
      </c>
      <c r="B40" s="87" t="b">
        <v>0</v>
      </c>
      <c r="C40" s="87" t="b">
        <v>0</v>
      </c>
      <c r="D40" s="47" t="str">
        <f t="shared" si="0"/>
        <v>À faire</v>
      </c>
      <c r="E40" s="83"/>
      <c r="F40" s="83"/>
      <c r="G40" s="88"/>
      <c r="H40" s="88"/>
      <c r="I40" s="83"/>
      <c r="J40" s="86"/>
    </row>
    <row r="41" spans="1:10" x14ac:dyDescent="0.2">
      <c r="A41" s="5" t="s">
        <v>493</v>
      </c>
      <c r="B41" s="87" t="b">
        <v>0</v>
      </c>
      <c r="C41" s="87" t="b">
        <v>0</v>
      </c>
      <c r="D41" s="47" t="str">
        <f t="shared" si="0"/>
        <v>À faire</v>
      </c>
      <c r="E41" s="83"/>
      <c r="F41" s="83"/>
      <c r="G41" s="88"/>
      <c r="H41" s="88"/>
      <c r="I41" s="83"/>
      <c r="J41" s="86"/>
    </row>
    <row r="42" spans="1:10" ht="18" customHeight="1" x14ac:dyDescent="0.2"/>
    <row r="43" spans="1:10" ht="18" customHeight="1" x14ac:dyDescent="0.2"/>
    <row r="44" spans="1:10" ht="22" customHeight="1" x14ac:dyDescent="0.25">
      <c r="A44" s="101" t="s">
        <v>511</v>
      </c>
      <c r="B44" s="101"/>
      <c r="C44" s="101"/>
      <c r="D44" s="101"/>
      <c r="E44" s="101"/>
      <c r="F44" s="101"/>
      <c r="G44" s="101"/>
      <c r="H44" s="101"/>
      <c r="I44" s="101"/>
      <c r="J44" s="101"/>
    </row>
    <row r="45" spans="1:10" ht="28" customHeight="1" x14ac:dyDescent="0.2">
      <c r="A45" s="102" t="s">
        <v>512</v>
      </c>
      <c r="B45" s="102"/>
      <c r="C45" s="102"/>
      <c r="D45" s="102"/>
      <c r="E45" s="102"/>
      <c r="F45" s="102"/>
      <c r="G45" s="102"/>
      <c r="H45" s="102"/>
      <c r="I45" s="102"/>
      <c r="J45" s="102"/>
    </row>
    <row r="46" spans="1:10" ht="18" customHeight="1" x14ac:dyDescent="0.2"/>
    <row r="47" spans="1:10" ht="26" customHeight="1" x14ac:dyDescent="0.25">
      <c r="A47" s="94" t="s">
        <v>513</v>
      </c>
      <c r="B47" s="94" t="s">
        <v>494</v>
      </c>
      <c r="C47" s="94" t="s">
        <v>495</v>
      </c>
      <c r="D47" s="94" t="s">
        <v>514</v>
      </c>
      <c r="E47" s="94" t="s">
        <v>515</v>
      </c>
    </row>
    <row r="48" spans="1:10" ht="18" customHeight="1" x14ac:dyDescent="0.2">
      <c r="A48" s="89" t="str" cm="1">
        <f t="array" aca="1" ref="A48:E51" ca="1">_xlfn._xlws.FILTER(CHOOSE({1,2,3,4,5},Data!A2:A81,Data!I2:I81,Data!K2:K81,IF(Data!I2:I81=0,Data!B2:B81,""),IF(Data!K2:K81=0,Data!C2:C81,"")),(Data!I2:I81=0)+(Data!K2:K81=0),"Aucun collaborateur à 0 an")</f>
        <v>Augustin Giros</v>
      </c>
      <c r="B48" s="90">
        <f ca="1"/>
        <v>2026</v>
      </c>
      <c r="C48" s="90">
        <f ca="1"/>
        <v>0</v>
      </c>
      <c r="D48" s="89" t="str">
        <f ca="1"/>
        <v/>
      </c>
      <c r="E48" s="89" t="str">
        <f ca="1"/>
        <v>XPSDG_AGiros</v>
      </c>
    </row>
    <row r="49" spans="1:5" ht="18" customHeight="1" x14ac:dyDescent="0.2">
      <c r="A49" s="89" t="str">
        <f ca="1"/>
        <v>Julien Dapsens</v>
      </c>
      <c r="B49" s="90">
        <f ca="1"/>
        <v>12</v>
      </c>
      <c r="C49" s="90">
        <f ca="1"/>
        <v>0</v>
      </c>
      <c r="D49" s="89" t="str">
        <f ca="1"/>
        <v/>
      </c>
      <c r="E49" s="89" t="str">
        <f ca="1"/>
        <v>XPSDG_JDapsens</v>
      </c>
    </row>
    <row r="50" spans="1:5" ht="18" customHeight="1" x14ac:dyDescent="0.2">
      <c r="A50" s="89" t="str">
        <f ca="1"/>
        <v>Nathan Gamon</v>
      </c>
      <c r="B50" s="90">
        <f ca="1"/>
        <v>0</v>
      </c>
      <c r="C50" s="90">
        <f ca="1"/>
        <v>0</v>
      </c>
      <c r="D50" s="89" t="str">
        <f ca="1"/>
        <v>XPINDUS_Gamon</v>
      </c>
      <c r="E50" s="89" t="str">
        <f ca="1"/>
        <v>XPSDG_Gamon</v>
      </c>
    </row>
    <row r="51" spans="1:5" ht="18" customHeight="1" x14ac:dyDescent="0.2">
      <c r="A51" s="89" t="str">
        <f ca="1"/>
        <v>Paul Contamin</v>
      </c>
      <c r="B51" s="90">
        <f ca="1"/>
        <v>0</v>
      </c>
      <c r="C51" s="90">
        <f ca="1"/>
        <v>0</v>
      </c>
      <c r="D51" s="89" t="str">
        <f ca="1"/>
        <v>XPINDUS_PContamin</v>
      </c>
      <c r="E51" s="89" t="str">
        <f ca="1"/>
        <v>XPSDG_PContamin</v>
      </c>
    </row>
    <row r="52" spans="1:5" ht="18" customHeight="1" x14ac:dyDescent="0.2">
      <c r="A52" s="89"/>
      <c r="B52" s="90"/>
      <c r="C52" s="90"/>
      <c r="D52" s="89"/>
      <c r="E52" s="89"/>
    </row>
    <row r="53" spans="1:5" ht="18" customHeight="1" x14ac:dyDescent="0.2">
      <c r="A53" s="89"/>
      <c r="B53" s="90"/>
      <c r="C53" s="90"/>
      <c r="D53" s="89"/>
      <c r="E53" s="89"/>
    </row>
    <row r="54" spans="1:5" ht="18" customHeight="1" x14ac:dyDescent="0.2">
      <c r="A54" s="89"/>
      <c r="B54" s="90"/>
      <c r="C54" s="90"/>
      <c r="D54" s="89"/>
      <c r="E54" s="89"/>
    </row>
    <row r="55" spans="1:5" ht="18" customHeight="1" x14ac:dyDescent="0.2">
      <c r="A55" s="89"/>
      <c r="B55" s="90"/>
      <c r="C55" s="90"/>
      <c r="D55" s="89"/>
      <c r="E55" s="89"/>
    </row>
    <row r="56" spans="1:5" ht="18" customHeight="1" x14ac:dyDescent="0.2">
      <c r="A56" s="89"/>
      <c r="B56" s="90"/>
      <c r="C56" s="90"/>
      <c r="D56" s="89"/>
      <c r="E56" s="89"/>
    </row>
    <row r="57" spans="1:5" ht="18" customHeight="1" x14ac:dyDescent="0.2">
      <c r="A57" s="89"/>
      <c r="B57" s="90"/>
      <c r="C57" s="90"/>
      <c r="D57" s="89"/>
      <c r="E57" s="89"/>
    </row>
    <row r="58" spans="1:5" ht="18" customHeight="1" x14ac:dyDescent="0.2">
      <c r="A58" s="89"/>
      <c r="B58" s="90"/>
      <c r="C58" s="90"/>
      <c r="D58" s="89"/>
      <c r="E58" s="89"/>
    </row>
    <row r="59" spans="1:5" ht="18" customHeight="1" x14ac:dyDescent="0.2">
      <c r="A59" s="89"/>
      <c r="B59" s="90"/>
      <c r="C59" s="90"/>
      <c r="D59" s="89"/>
      <c r="E59" s="89"/>
    </row>
    <row r="60" spans="1:5" ht="18" customHeight="1" x14ac:dyDescent="0.2">
      <c r="A60" s="91"/>
      <c r="B60" s="92"/>
      <c r="C60" s="92"/>
      <c r="D60" s="91"/>
      <c r="E60" s="91"/>
    </row>
  </sheetData>
  <mergeCells count="15">
    <mergeCell ref="A44:J44"/>
    <mergeCell ref="A45:J45"/>
    <mergeCell ref="A4:B4"/>
    <mergeCell ref="C4:D4"/>
    <mergeCell ref="E4:F4"/>
    <mergeCell ref="G4:H4"/>
    <mergeCell ref="A1:J1"/>
    <mergeCell ref="A2:J2"/>
    <mergeCell ref="I3:J3"/>
    <mergeCell ref="I4:J4"/>
    <mergeCell ref="A6:J6"/>
    <mergeCell ref="A3:B3"/>
    <mergeCell ref="C3:D3"/>
    <mergeCell ref="E3:F3"/>
    <mergeCell ref="G3:H3"/>
  </mergeCells>
  <conditionalFormatting sqref="D9:D41">
    <cfRule type="expression" dxfId="2" priority="1">
      <formula>$D9="Terminé"</formula>
    </cfRule>
    <cfRule type="expression" dxfId="1" priority="2">
      <formula>$D9="En cours"</formula>
    </cfRule>
    <cfRule type="expression" dxfId="0" priority="3">
      <formula>$D9="À faire"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07B91-608B-45CC-A035-C08D4A1CA205}">
  <dimension ref="B2:G26"/>
  <sheetViews>
    <sheetView zoomScale="130" zoomScaleNormal="130" workbookViewId="0">
      <selection activeCell="B2" sqref="B2"/>
    </sheetView>
  </sheetViews>
  <sheetFormatPr baseColWidth="10" defaultColWidth="8.77734375" defaultRowHeight="10" x14ac:dyDescent="0.2"/>
  <cols>
    <col min="1" max="1" width="8.77734375" style="5"/>
    <col min="2" max="2" width="67.6640625" style="5" bestFit="1" customWidth="1"/>
    <col min="3" max="3" width="10.44140625" style="5" bestFit="1" customWidth="1"/>
    <col min="4" max="4" width="8.77734375" style="5" bestFit="1" customWidth="1"/>
    <col min="5" max="5" width="17.77734375" style="5" customWidth="1"/>
    <col min="6" max="6" width="59" style="5" customWidth="1"/>
    <col min="7" max="16384" width="8.77734375" style="5"/>
  </cols>
  <sheetData>
    <row r="2" spans="2:7" ht="26" x14ac:dyDescent="0.2">
      <c r="B2" s="42" t="s">
        <v>107</v>
      </c>
    </row>
    <row r="4" spans="2:7" ht="39.5" thickBot="1" x14ac:dyDescent="0.25">
      <c r="B4" s="4" t="s">
        <v>108</v>
      </c>
      <c r="C4" s="4" t="s">
        <v>109</v>
      </c>
      <c r="D4" s="4" t="s">
        <v>110</v>
      </c>
      <c r="E4" s="28" t="s">
        <v>146</v>
      </c>
      <c r="F4" s="7" t="s">
        <v>122</v>
      </c>
    </row>
    <row r="5" spans="2:7" ht="13" x14ac:dyDescent="0.2">
      <c r="B5" s="11" t="s">
        <v>111</v>
      </c>
      <c r="C5" s="33" t="e">
        <f>AVERAGE(Data!#REF!,Data!I13,Data!I15,Data!I16,Data!I18,Data!I19,Data!I20,Data!I21,Data!I22,Data!I23,Data!I24,Data!I25,Data!I26,Data!I27)</f>
        <v>#REF!</v>
      </c>
      <c r="D5" s="33" t="e">
        <f>AVERAGE(Data!#REF!,Data!K13,Data!K15,Data!K16,Data!K18,Data!K19,Data!K20,Data!K21,Data!K22,Data!K23,Data!K24,Data!K25,Data!K26,Data!K27)</f>
        <v>#REF!</v>
      </c>
      <c r="E5" s="15">
        <f>SUM(E6:E7)</f>
        <v>14</v>
      </c>
      <c r="F5" s="13"/>
    </row>
    <row r="6" spans="2:7" ht="37.5" x14ac:dyDescent="0.2">
      <c r="B6" s="43" t="s">
        <v>112</v>
      </c>
      <c r="C6" s="34" t="e">
        <f>AVERAGE(Data!#REF!,Data!I13,Data!I15,Data!I16,Data!I18,Data!I19,Data!I20,Data!I21,Data!I22)</f>
        <v>#REF!</v>
      </c>
      <c r="D6" s="34" t="e">
        <f>AVERAGE(Data!#REF!,Data!K13,Data!K15,Data!K16,Data!K18,Data!K19,Data!K20,Data!K21,Data!K22)</f>
        <v>#REF!</v>
      </c>
      <c r="E6" s="35">
        <v>9</v>
      </c>
      <c r="F6" s="8" t="s">
        <v>152</v>
      </c>
      <c r="G6" s="29" t="s">
        <v>147</v>
      </c>
    </row>
    <row r="7" spans="2:7" ht="25.5" thickBot="1" x14ac:dyDescent="0.25">
      <c r="B7" s="44" t="s">
        <v>132</v>
      </c>
      <c r="C7" s="36">
        <f ca="1">AVERAGE(Data!I23,Data!I24,Data!I25,Data!I26,Data!I27)</f>
        <v>23.8</v>
      </c>
      <c r="D7" s="36">
        <f ca="1">AVERAGE(Data!K23,Data!K24,Data!K25,Data!K26,Data!K27)</f>
        <v>9.6</v>
      </c>
      <c r="E7" s="37">
        <v>5</v>
      </c>
      <c r="F7" s="9" t="s">
        <v>124</v>
      </c>
    </row>
    <row r="8" spans="2:7" ht="13" x14ac:dyDescent="0.2">
      <c r="B8" s="11" t="s">
        <v>116</v>
      </c>
      <c r="C8" s="33" t="e">
        <f>AVERAGE(Data!I62,Data!I63,Data!I64,Data!I65,Data!I66,Data!I67,Data!I68,Data!#REF!,Data!#REF!,Data!I69)</f>
        <v>#REF!</v>
      </c>
      <c r="D8" s="33" t="e">
        <f>AVERAGE(Data!K62,Data!K63,Data!K64,Data!K65,Data!K66,Data!K67,Data!K68,Data!#REF!,Data!#REF!,Data!K69)</f>
        <v>#REF!</v>
      </c>
      <c r="E8" s="15">
        <f>SUM(E9:E10)</f>
        <v>10</v>
      </c>
      <c r="F8" s="12"/>
    </row>
    <row r="9" spans="2:7" ht="25" x14ac:dyDescent="0.2">
      <c r="B9" s="43" t="s">
        <v>112</v>
      </c>
      <c r="C9" s="34">
        <f ca="1">AVERAGE(Data!I62,Data!I63,Data!I64,Data!I65,Data!I69)</f>
        <v>17</v>
      </c>
      <c r="D9" s="34">
        <f ca="1">AVERAGE(Data!K62,Data!K63,Data!K64,Data!K65,Data!I69)</f>
        <v>12.8</v>
      </c>
      <c r="E9" s="35">
        <v>5</v>
      </c>
      <c r="F9" s="10" t="s">
        <v>151</v>
      </c>
      <c r="G9" s="29" t="s">
        <v>147</v>
      </c>
    </row>
    <row r="10" spans="2:7" ht="25.5" thickBot="1" x14ac:dyDescent="0.25">
      <c r="B10" s="44" t="s">
        <v>133</v>
      </c>
      <c r="C10" s="36" t="e">
        <f>AVERAGE(Data!I66,Data!I67,Data!I68,Data!#REF!,Data!#REF!)</f>
        <v>#REF!</v>
      </c>
      <c r="D10" s="36" t="e">
        <f>AVERAGE(Data!K66,Data!K67,Data!K68,Data!#REF!,Data!#REF!)</f>
        <v>#REF!</v>
      </c>
      <c r="E10" s="37">
        <v>5</v>
      </c>
      <c r="F10" s="9" t="s">
        <v>150</v>
      </c>
    </row>
    <row r="11" spans="2:7" ht="13" x14ac:dyDescent="0.2">
      <c r="B11" s="11" t="s">
        <v>135</v>
      </c>
      <c r="C11" s="33" t="e">
        <f>AVERAGE(Data!I54,Data!I56,Data!I57,Data!I58,Data!I59,Data!I60,Data!#REF!,Data!I61)</f>
        <v>#REF!</v>
      </c>
      <c r="D11" s="33" t="e">
        <f>AVERAGE(Data!K54,Data!K56,Data!K57,Data!K58,Data!K59,Data!K60,Data!#REF!,Data!K61)</f>
        <v>#REF!</v>
      </c>
      <c r="E11" s="15">
        <f>SUM(E12:E14)</f>
        <v>8</v>
      </c>
      <c r="F11" s="12"/>
      <c r="G11" s="27" t="s">
        <v>136</v>
      </c>
    </row>
    <row r="12" spans="2:7" ht="13" x14ac:dyDescent="0.2">
      <c r="B12" s="43" t="s">
        <v>112</v>
      </c>
      <c r="C12" s="34">
        <f ca="1">AVERAGE(Data!I54,Data!I56,Data!I57)</f>
        <v>30</v>
      </c>
      <c r="D12" s="34">
        <f ca="1">AVERAGE(Data!K54,Data!K56,Data!K57)</f>
        <v>18</v>
      </c>
      <c r="E12" s="35">
        <v>3</v>
      </c>
      <c r="F12" s="10" t="s">
        <v>126</v>
      </c>
    </row>
    <row r="13" spans="2:7" ht="13" x14ac:dyDescent="0.2">
      <c r="B13" s="43" t="s">
        <v>134</v>
      </c>
      <c r="C13" s="34" t="e">
        <f>AVERAGE(Data!I58,Data!I59,Data!I60,Data!#REF!)</f>
        <v>#REF!</v>
      </c>
      <c r="D13" s="34" t="e">
        <f>AVERAGE(Data!K58,Data!K59,Data!K60,Data!#REF!)</f>
        <v>#REF!</v>
      </c>
      <c r="E13" s="35">
        <v>4</v>
      </c>
      <c r="F13" s="10" t="s">
        <v>125</v>
      </c>
    </row>
    <row r="14" spans="2:7" ht="13.5" thickBot="1" x14ac:dyDescent="0.25">
      <c r="B14" s="44" t="s">
        <v>114</v>
      </c>
      <c r="C14" s="36">
        <f ca="1">AVERAGE(Data!I61)</f>
        <v>19</v>
      </c>
      <c r="D14" s="36">
        <f ca="1">AVERAGE(Data!K61)</f>
        <v>12</v>
      </c>
      <c r="E14" s="35">
        <v>1</v>
      </c>
      <c r="F14" s="14" t="s">
        <v>44</v>
      </c>
    </row>
    <row r="15" spans="2:7" ht="13.5" thickBot="1" x14ac:dyDescent="0.25">
      <c r="B15" s="16" t="s">
        <v>115</v>
      </c>
      <c r="C15" s="19"/>
      <c r="D15" s="19"/>
      <c r="E15" s="15">
        <f>SUM(E16:E17)+E19</f>
        <v>11</v>
      </c>
      <c r="F15" s="17"/>
      <c r="G15" s="30" t="s">
        <v>154</v>
      </c>
    </row>
    <row r="16" spans="2:7" ht="13" x14ac:dyDescent="0.2">
      <c r="B16" s="43" t="s">
        <v>112</v>
      </c>
      <c r="C16" s="34" t="e">
        <f>AVERAGE(Data!#REF!,Data!I28,Data!I30)</f>
        <v>#REF!</v>
      </c>
      <c r="D16" s="34" t="e">
        <f>AVERAGE(Data!#REF!,Data!K28,Data!K30)</f>
        <v>#REF!</v>
      </c>
      <c r="E16" s="35">
        <v>3</v>
      </c>
      <c r="F16" s="10" t="s">
        <v>148</v>
      </c>
      <c r="G16" s="29" t="s">
        <v>147</v>
      </c>
    </row>
    <row r="17" spans="2:7" ht="13.5" thickBot="1" x14ac:dyDescent="0.25">
      <c r="B17" s="43" t="s">
        <v>113</v>
      </c>
      <c r="C17" s="34" t="e">
        <f>AVERAGE(Data!I45,Data!I46,Data!#REF!)</f>
        <v>#REF!</v>
      </c>
      <c r="D17" s="34" t="e">
        <f>AVERAGE(Data!#REF!,Data!K46,Data!K45)</f>
        <v>#REF!</v>
      </c>
      <c r="E17" s="37">
        <v>3</v>
      </c>
      <c r="F17" s="21" t="s">
        <v>137</v>
      </c>
    </row>
    <row r="18" spans="2:7" ht="13" x14ac:dyDescent="0.2">
      <c r="B18" s="11" t="s">
        <v>117</v>
      </c>
      <c r="C18" s="20"/>
      <c r="D18" s="20"/>
      <c r="E18" s="20"/>
      <c r="F18" s="18"/>
    </row>
    <row r="19" spans="2:7" ht="25.5" thickBot="1" x14ac:dyDescent="0.25">
      <c r="B19" s="43" t="s">
        <v>112</v>
      </c>
      <c r="C19" s="34" t="e">
        <f>AVERAGE(Data!I41,Data!I42,Data!#REF!,Data!I32,Data!#REF!)</f>
        <v>#REF!</v>
      </c>
      <c r="D19" s="34" t="e">
        <f>AVERAGE(Data!K32,Data!#REF!,Data!K41,Data!K42,Data!#REF!)</f>
        <v>#REF!</v>
      </c>
      <c r="E19" s="35">
        <v>5</v>
      </c>
      <c r="F19" s="24" t="s">
        <v>127</v>
      </c>
    </row>
    <row r="20" spans="2:7" ht="13" x14ac:dyDescent="0.2">
      <c r="B20" s="11" t="s">
        <v>123</v>
      </c>
      <c r="C20" s="33">
        <f ca="1">AVERAGE(Data!I49,Data!I50,Data!I51,Data!I52,Data!I53)</f>
        <v>14</v>
      </c>
      <c r="D20" s="33">
        <f ca="1">AVERAGE(Data!K49,Data!K50,Data!K51,Data!K52,Data!K53)</f>
        <v>8</v>
      </c>
      <c r="E20" s="15">
        <f>(SUM(E21:E23)+1)</f>
        <v>5</v>
      </c>
      <c r="F20" s="22" t="s">
        <v>129</v>
      </c>
      <c r="G20" s="5" t="s">
        <v>149</v>
      </c>
    </row>
    <row r="21" spans="2:7" ht="13" x14ac:dyDescent="0.2">
      <c r="B21" s="43" t="s">
        <v>118</v>
      </c>
      <c r="C21" s="34">
        <f ca="1">AVERAGE(Data!I50,Data!I51)</f>
        <v>7.5</v>
      </c>
      <c r="D21" s="34">
        <f ca="1">AVERAGE(Data!K50,Data!K51)</f>
        <v>6</v>
      </c>
      <c r="E21" s="35">
        <v>2</v>
      </c>
      <c r="F21" s="10" t="s">
        <v>128</v>
      </c>
    </row>
    <row r="22" spans="2:7" ht="13" x14ac:dyDescent="0.2">
      <c r="B22" s="45" t="s">
        <v>106</v>
      </c>
      <c r="C22" s="34">
        <f ca="1">AVERAGE(Data!I52)</f>
        <v>28</v>
      </c>
      <c r="D22" s="34">
        <f ca="1">AVERAGE(Data!K52)</f>
        <v>22</v>
      </c>
      <c r="E22" s="35">
        <v>1</v>
      </c>
      <c r="F22" s="10" t="s">
        <v>43</v>
      </c>
    </row>
    <row r="23" spans="2:7" ht="13.5" thickBot="1" x14ac:dyDescent="0.25">
      <c r="B23" s="46" t="s">
        <v>119</v>
      </c>
      <c r="C23" s="36">
        <f ca="1">AVERAGE(Data!I53)</f>
        <v>8</v>
      </c>
      <c r="D23" s="36">
        <f ca="1">AVERAGE(Data!K53)</f>
        <v>3</v>
      </c>
      <c r="E23" s="37">
        <v>1</v>
      </c>
      <c r="F23" s="9" t="s">
        <v>64</v>
      </c>
    </row>
    <row r="24" spans="2:7" ht="13.5" thickBot="1" x14ac:dyDescent="0.25">
      <c r="B24" s="26" t="s">
        <v>120</v>
      </c>
      <c r="C24" s="38" t="e">
        <f>AVERAGE(Data!I70,Data!#REF!)</f>
        <v>#REF!</v>
      </c>
      <c r="D24" s="38" t="e">
        <f>AVERAGE(Data!K70,Data!#REF!)</f>
        <v>#REF!</v>
      </c>
      <c r="E24" s="39">
        <v>2</v>
      </c>
      <c r="F24" s="17" t="s">
        <v>130</v>
      </c>
    </row>
    <row r="25" spans="2:7" ht="26.5" thickBot="1" x14ac:dyDescent="0.25">
      <c r="B25" s="31" t="s">
        <v>121</v>
      </c>
      <c r="C25" s="40" t="e">
        <f>AVERAGE(Data!#REF!,Data!I71,Data!I72)</f>
        <v>#REF!</v>
      </c>
      <c r="D25" s="40" t="e">
        <f>AVERAGE(Data!#REF!,Data!K71,Data!K72)</f>
        <v>#REF!</v>
      </c>
      <c r="E25" s="41">
        <v>3</v>
      </c>
      <c r="F25" s="32" t="s">
        <v>131</v>
      </c>
      <c r="G25" s="27" t="s">
        <v>155</v>
      </c>
    </row>
    <row r="26" spans="2:7" ht="13.5" thickBot="1" x14ac:dyDescent="0.25">
      <c r="B26" s="23" t="s">
        <v>142</v>
      </c>
      <c r="C26" s="38" t="e">
        <f>AVERAGE(Data!I74,Data!I76,Data!#REF!)</f>
        <v>#REF!</v>
      </c>
      <c r="D26" s="38" t="e">
        <f>AVERAGE(Data!K74,Data!K76,Data!#REF!)</f>
        <v>#REF!</v>
      </c>
      <c r="E26" s="39">
        <v>3</v>
      </c>
      <c r="F26" s="17" t="s">
        <v>143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379408-1557-4f34-b42c-fdff74bac1d1">
      <Terms xmlns="http://schemas.microsoft.com/office/infopath/2007/PartnerControls"/>
    </lcf76f155ced4ddcb4097134ff3c332f>
    <TaxCatchAll xmlns="3baf49f8-4e4f-49ff-a6a4-2df5838d2f8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2AF42655031248AE1D818D5A10FD34" ma:contentTypeVersion="12" ma:contentTypeDescription="Create a new document." ma:contentTypeScope="" ma:versionID="b942b6c840a0a789953d891e8c120b18">
  <xsd:schema xmlns:xsd="http://www.w3.org/2001/XMLSchema" xmlns:xs="http://www.w3.org/2001/XMLSchema" xmlns:p="http://schemas.microsoft.com/office/2006/metadata/properties" xmlns:ns2="92379408-1557-4f34-b42c-fdff74bac1d1" xmlns:ns3="3baf49f8-4e4f-49ff-a6a4-2df5838d2f8c" targetNamespace="http://schemas.microsoft.com/office/2006/metadata/properties" ma:root="true" ma:fieldsID="47d8148da513fcec4906c9d8edaafc91" ns2:_="" ns3:_="">
    <xsd:import namespace="92379408-1557-4f34-b42c-fdff74bac1d1"/>
    <xsd:import namespace="3baf49f8-4e4f-49ff-a6a4-2df5838d2f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379408-1557-4f34-b42c-fdff74bac1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c4bd07a-0e54-4135-a446-f67f0324eb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f49f8-4e4f-49ff-a6a4-2df5838d2f8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b02c0d5-7727-4324-bbd7-f8bffd5a90fc}" ma:internalName="TaxCatchAll" ma:showField="CatchAllData" ma:web="3baf49f8-4e4f-49ff-a6a4-2df5838d2f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2113EA-E7D7-4F0E-9F3B-6B5887810A37}">
  <ds:schemaRefs>
    <ds:schemaRef ds:uri="http://www.w3.org/XML/1998/namespace"/>
    <ds:schemaRef ds:uri="http://purl.org/dc/terms/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3baf49f8-4e4f-49ff-a6a4-2df5838d2f8c"/>
    <ds:schemaRef ds:uri="92379408-1557-4f34-b42c-fdff74bac1d1"/>
  </ds:schemaRefs>
</ds:datastoreItem>
</file>

<file path=customXml/itemProps2.xml><?xml version="1.0" encoding="utf-8"?>
<ds:datastoreItem xmlns:ds="http://schemas.openxmlformats.org/officeDocument/2006/customXml" ds:itemID="{F258DF45-C66C-4095-B9BC-F138D17BDC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5E870D-CEDB-4601-AE3F-32ED9A9F4B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379408-1557-4f34-b42c-fdff74bac1d1"/>
    <ds:schemaRef ds:uri="3baf49f8-4e4f-49ff-a6a4-2df5838d2f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Accueil</vt:lpstr>
      <vt:lpstr>Notice</vt:lpstr>
      <vt:lpstr>Exp individuelle + team - TCD</vt:lpstr>
      <vt:lpstr>Data</vt:lpstr>
      <vt:lpstr>Tab_Suivi </vt:lpstr>
      <vt:lpstr>Exp moyenne par équipe gestion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Levezac, Jade</dc:creator>
  <cp:keywords/>
  <dc:description/>
  <cp:lastModifiedBy>Robin, Noa</cp:lastModifiedBy>
  <dcterms:created xsi:type="dcterms:W3CDTF">2022-09-09T13:22:07Z</dcterms:created>
  <dcterms:modified xsi:type="dcterms:W3CDTF">2026-09-17T14:20:50Z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467861-a3ab-42c6-8fda-0e6a632fdfd3_Enabled">
    <vt:lpwstr>true</vt:lpwstr>
  </property>
  <property fmtid="{D5CDD505-2E9C-101B-9397-08002B2CF9AE}" pid="3" name="MSIP_Label_10467861-a3ab-42c6-8fda-0e6a632fdfd3_SetDate">
    <vt:lpwstr>2023-08-11T08:28:51Z</vt:lpwstr>
  </property>
  <property fmtid="{D5CDD505-2E9C-101B-9397-08002B2CF9AE}" pid="4" name="MSIP_Label_10467861-a3ab-42c6-8fda-0e6a632fdfd3_Method">
    <vt:lpwstr>Privileged</vt:lpwstr>
  </property>
  <property fmtid="{D5CDD505-2E9C-101B-9397-08002B2CF9AE}" pid="5" name="MSIP_Label_10467861-a3ab-42c6-8fda-0e6a632fdfd3_Name">
    <vt:lpwstr>RAndCoPublic</vt:lpwstr>
  </property>
  <property fmtid="{D5CDD505-2E9C-101B-9397-08002B2CF9AE}" pid="6" name="MSIP_Label_10467861-a3ab-42c6-8fda-0e6a632fdfd3_SiteId">
    <vt:lpwstr>a3a61790-e8ca-448a-b1be-e046da74a581</vt:lpwstr>
  </property>
  <property fmtid="{D5CDD505-2E9C-101B-9397-08002B2CF9AE}" pid="7" name="MSIP_Label_10467861-a3ab-42c6-8fda-0e6a632fdfd3_ActionId">
    <vt:lpwstr>b9a8e85f-6286-4ed6-a70b-9783da273942</vt:lpwstr>
  </property>
  <property fmtid="{D5CDD505-2E9C-101B-9397-08002B2CF9AE}" pid="8" name="MSIP_Label_10467861-a3ab-42c6-8fda-0e6a632fdfd3_ContentBits">
    <vt:lpwstr>0</vt:lpwstr>
  </property>
  <property fmtid="{D5CDD505-2E9C-101B-9397-08002B2CF9AE}" pid="9" name="RTHDocumentSensitivity">
    <vt:lpwstr>Public</vt:lpwstr>
  </property>
  <property fmtid="{D5CDD505-2E9C-101B-9397-08002B2CF9AE}" pid="10" name="RTHDocumentSensitivityFR">
    <vt:lpwstr>Public</vt:lpwstr>
  </property>
  <property fmtid="{D5CDD505-2E9C-101B-9397-08002B2CF9AE}" pid="11" name="Order">
    <vt:r8>100</vt:r8>
  </property>
  <property fmtid="{D5CDD505-2E9C-101B-9397-08002B2CF9AE}" pid="12" name="MediaServiceImageTags">
    <vt:lpwstr/>
  </property>
  <property fmtid="{D5CDD505-2E9C-101B-9397-08002B2CF9AE}" pid="13" name="ContentTypeId">
    <vt:lpwstr>0x010100CB2AF42655031248AE1D818D5A10FD34</vt:lpwstr>
  </property>
  <property fmtid="{D5CDD505-2E9C-101B-9397-08002B2CF9AE}" pid="14" name="SV_QUERY_LIST_4F35BF76-6C0D-4D9B-82B2-816C12CF3733">
    <vt:lpwstr>empty_477D106A-C0D6-4607-AEBD-E2C9D60EA279</vt:lpwstr>
  </property>
  <property fmtid="{D5CDD505-2E9C-101B-9397-08002B2CF9AE}" pid="15" name="SV_HIDDEN_GRID_QUERY_LIST_4F35BF76-6C0D-4D9B-82B2-816C12CF3733">
    <vt:lpwstr>empty_477D106A-C0D6-4607-AEBD-E2C9D60EA279</vt:lpwstr>
  </property>
</Properties>
</file>